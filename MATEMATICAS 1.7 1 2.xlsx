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Ex2.xml" ContentType="application/vnd.ms-office.chartex+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9.xml" ContentType="application/vnd.openxmlformats-officedocument.drawing+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harts/chart33.xml" ContentType="application/vnd.openxmlformats-officedocument.drawingml.chart+xml"/>
  <Override PartName="/xl/charts/style35.xml" ContentType="application/vnd.ms-office.chartstyle+xml"/>
  <Override PartName="/xl/charts/colors35.xml" ContentType="application/vnd.ms-office.chartcolorstyle+xml"/>
  <Override PartName="/xl/charts/chart34.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0.xml" ContentType="application/vnd.openxmlformats-officedocument.drawing+xml"/>
  <Override PartName="/xl/charts/chart35.xml" ContentType="application/vnd.openxmlformats-officedocument.drawingml.chart+xml"/>
  <Override PartName="/xl/charts/style37.xml" ContentType="application/vnd.ms-office.chartstyle+xml"/>
  <Override PartName="/xl/charts/colors37.xml" ContentType="application/vnd.ms-office.chartcolorstyle+xml"/>
  <Override PartName="/xl/charts/chartEx3.xml" ContentType="application/vnd.ms-office.chartex+xml"/>
  <Override PartName="/xl/charts/style38.xml" ContentType="application/vnd.ms-office.chartstyle+xml"/>
  <Override PartName="/xl/charts/colors38.xml" ContentType="application/vnd.ms-office.chartcolorstyle+xml"/>
  <Override PartName="/xl/charts/chart36.xml" ContentType="application/vnd.openxmlformats-officedocument.drawingml.chart+xml"/>
  <Override PartName="/xl/charts/style39.xml" ContentType="application/vnd.ms-office.chartstyle+xml"/>
  <Override PartName="/xl/charts/colors39.xml" ContentType="application/vnd.ms-office.chartcolorstyle+xml"/>
  <Override PartName="/xl/charts/chart37.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1.xml" ContentType="application/vnd.openxmlformats-officedocument.drawing+xml"/>
  <Override PartName="/xl/charts/chart38.xml" ContentType="application/vnd.openxmlformats-officedocument.drawingml.chart+xml"/>
  <Override PartName="/xl/charts/style41.xml" ContentType="application/vnd.ms-office.chartstyle+xml"/>
  <Override PartName="/xl/charts/colors41.xml" ContentType="application/vnd.ms-office.chartcolorstyle+xml"/>
  <Override PartName="/xl/charts/chart39.xml" ContentType="application/vnd.openxmlformats-officedocument.drawingml.chart+xml"/>
  <Override PartName="/xl/charts/style42.xml" ContentType="application/vnd.ms-office.chartstyle+xml"/>
  <Override PartName="/xl/charts/colors42.xml" ContentType="application/vnd.ms-office.chartcolorstyle+xml"/>
  <Override PartName="/xl/charts/chart40.xml" ContentType="application/vnd.openxmlformats-officedocument.drawingml.chart+xml"/>
  <Override PartName="/xl/charts/style43.xml" ContentType="application/vnd.ms-office.chartstyle+xml"/>
  <Override PartName="/xl/charts/colors43.xml" ContentType="application/vnd.ms-office.chartcolorstyle+xml"/>
  <Override PartName="/xl/charts/chart41.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2.xml" ContentType="application/vnd.openxmlformats-officedocument.drawing+xml"/>
  <Override PartName="/xl/charts/chart42.xml" ContentType="application/vnd.openxmlformats-officedocument.drawingml.chart+xml"/>
  <Override PartName="/xl/charts/style45.xml" ContentType="application/vnd.ms-office.chartstyle+xml"/>
  <Override PartName="/xl/charts/colors45.xml" ContentType="application/vnd.ms-office.chartcolorstyle+xml"/>
  <Override PartName="/xl/charts/chart43.xml" ContentType="application/vnd.openxmlformats-officedocument.drawingml.chart+xml"/>
  <Override PartName="/xl/charts/style46.xml" ContentType="application/vnd.ms-office.chartstyle+xml"/>
  <Override PartName="/xl/charts/colors46.xml" ContentType="application/vnd.ms-office.chartcolorstyle+xml"/>
  <Override PartName="/xl/charts/chart44.xml" ContentType="application/vnd.openxmlformats-officedocument.drawingml.chart+xml"/>
  <Override PartName="/xl/charts/style47.xml" ContentType="application/vnd.ms-office.chartstyle+xml"/>
  <Override PartName="/xl/charts/colors47.xml" ContentType="application/vnd.ms-office.chartcolorstyle+xml"/>
  <Override PartName="/xl/charts/chart45.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3.xml" ContentType="application/vnd.openxmlformats-officedocument.drawing+xml"/>
  <Override PartName="/xl/charts/chart46.xml" ContentType="application/vnd.openxmlformats-officedocument.drawingml.chart+xml"/>
  <Override PartName="/xl/charts/style49.xml" ContentType="application/vnd.ms-office.chartstyle+xml"/>
  <Override PartName="/xl/charts/colors49.xml" ContentType="application/vnd.ms-office.chartcolorstyle+xml"/>
  <Override PartName="/xl/charts/chart47.xml" ContentType="application/vnd.openxmlformats-officedocument.drawingml.chart+xml"/>
  <Override PartName="/xl/charts/style50.xml" ContentType="application/vnd.ms-office.chartstyle+xml"/>
  <Override PartName="/xl/charts/colors50.xml" ContentType="application/vnd.ms-office.chartcolorstyle+xml"/>
  <Override PartName="/xl/charts/chart48.xml" ContentType="application/vnd.openxmlformats-officedocument.drawingml.chart+xml"/>
  <Override PartName="/xl/charts/style51.xml" ContentType="application/vnd.ms-office.chartstyle+xml"/>
  <Override PartName="/xl/charts/colors5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codeName="ThisWorkbook"/>
  <mc:AlternateContent xmlns:mc="http://schemas.openxmlformats.org/markup-compatibility/2006">
    <mc:Choice Requires="x15">
      <x15ac:absPath xmlns:x15ac="http://schemas.microsoft.com/office/spreadsheetml/2010/11/ac" url="C:\Users\SENA\Downloads\"/>
    </mc:Choice>
  </mc:AlternateContent>
  <xr:revisionPtr revIDLastSave="0" documentId="8_{A9900626-1F64-4165-B37D-23AA388E4ABE}" xr6:coauthVersionLast="47" xr6:coauthVersionMax="47" xr10:uidLastSave="{00000000-0000-0000-0000-000000000000}"/>
  <bookViews>
    <workbookView xWindow="-120" yWindow="-120" windowWidth="29040" windowHeight="15720" firstSheet="11" activeTab="9" xr2:uid="{D93E7180-D66A-47CB-8854-C195FA709DA8}"/>
  </bookViews>
  <sheets>
    <sheet name="Hoja1" sheetId="1" r:id="rId1"/>
    <sheet name="Hoja2" sheetId="2" r:id="rId2"/>
    <sheet name="Hoja3" sheetId="3" r:id="rId3"/>
    <sheet name="Hoja4" sheetId="4" r:id="rId4"/>
    <sheet name="Hoja5" sheetId="5" r:id="rId5"/>
    <sheet name="Hoja6" sheetId="6" r:id="rId6"/>
    <sheet name="Hoja7" sheetId="7" r:id="rId7"/>
    <sheet name="Hoja8" sheetId="8" r:id="rId8"/>
    <sheet name="Hoja9" sheetId="9" r:id="rId9"/>
    <sheet name="Hoja10" sheetId="10" r:id="rId10"/>
    <sheet name="Hoja11" sheetId="11" r:id="rId11"/>
    <sheet name="Hoja12" sheetId="14" r:id="rId12"/>
    <sheet name="Hoja13" sheetId="13" r:id="rId13"/>
  </sheets>
  <definedNames>
    <definedName name="_xlchart.v1.3" hidden="1">Hoja7!$B$16:$B$24</definedName>
    <definedName name="_xlchart.v1.4" hidden="1">Hoja7!$C$15</definedName>
    <definedName name="_xlchart.v1.5" hidden="1">Hoja7!$C$16:$C$24</definedName>
    <definedName name="_xlchart.v1.6" hidden="1">Hoja7!$D$15</definedName>
    <definedName name="_xlchart.v1.7" hidden="1">Hoja7!$D$16:$D$24</definedName>
    <definedName name="_xlchart.v1.8" hidden="1">Hoja10!$A$14:$A$28</definedName>
    <definedName name="_xlchart.v1.9" hidden="1">Hoja10!$E$14:$E$28</definedName>
    <definedName name="_xlchart.v2.0" hidden="1">Hoja3!$B$10:$B$23</definedName>
    <definedName name="_xlchart.v2.1" hidden="1">Hoja3!$C$10:$C$23</definedName>
    <definedName name="_xlchart.v2.2" hidden="1">Hoja3!$C$9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1" l="1"/>
  <c r="D15" i="11"/>
  <c r="D14" i="11"/>
  <c r="D13" i="11"/>
  <c r="D12" i="11"/>
  <c r="D11" i="11"/>
  <c r="D26" i="13"/>
  <c r="D25" i="13"/>
  <c r="D24" i="13"/>
  <c r="D23" i="13"/>
  <c r="D22" i="13"/>
  <c r="D21" i="13"/>
  <c r="D20" i="13"/>
  <c r="D19" i="13"/>
  <c r="D18" i="13"/>
  <c r="D17" i="13"/>
  <c r="D16" i="13"/>
  <c r="D15" i="13"/>
  <c r="D14" i="13"/>
  <c r="D13" i="13"/>
  <c r="D12" i="13"/>
  <c r="D11" i="13"/>
  <c r="D10" i="13"/>
  <c r="D9" i="13"/>
  <c r="D8" i="13"/>
  <c r="E23" i="14"/>
  <c r="D23" i="14"/>
  <c r="F23" i="14" s="1"/>
  <c r="G23" i="14" s="1"/>
  <c r="E22" i="14"/>
  <c r="D22" i="14"/>
  <c r="F22" i="14" s="1"/>
  <c r="G22" i="14" s="1"/>
  <c r="E21" i="14"/>
  <c r="D21" i="14"/>
  <c r="F21" i="14" s="1"/>
  <c r="G21" i="14" s="1"/>
  <c r="E20" i="14"/>
  <c r="D20" i="14"/>
  <c r="F20" i="14" s="1"/>
  <c r="G20" i="14" s="1"/>
  <c r="E19" i="14"/>
  <c r="D19" i="14"/>
  <c r="F19" i="14" s="1"/>
  <c r="G19" i="14" s="1"/>
  <c r="E18" i="14"/>
  <c r="D18" i="14"/>
  <c r="F18" i="14" s="1"/>
  <c r="G18" i="14" s="1"/>
  <c r="E17" i="14"/>
  <c r="D17" i="14"/>
  <c r="F17" i="14" s="1"/>
  <c r="G17" i="14" s="1"/>
  <c r="E16" i="14"/>
  <c r="D16" i="14"/>
  <c r="F16" i="14" s="1"/>
  <c r="G16" i="14" s="1"/>
  <c r="D23" i="10"/>
  <c r="D28" i="10"/>
  <c r="E28" i="10" s="1"/>
  <c r="D27" i="10"/>
  <c r="E27" i="10" s="1"/>
  <c r="D26" i="10"/>
  <c r="E26" i="10" s="1"/>
  <c r="D25" i="10"/>
  <c r="E25" i="10" s="1"/>
  <c r="D24" i="10"/>
  <c r="E24" i="10" s="1"/>
  <c r="E23" i="10"/>
  <c r="D22" i="10"/>
  <c r="E22" i="10" s="1"/>
  <c r="D21" i="10"/>
  <c r="E21" i="10" s="1"/>
  <c r="D20" i="10"/>
  <c r="E20" i="10" s="1"/>
  <c r="D19" i="10"/>
  <c r="E19" i="10" s="1"/>
  <c r="D18" i="10"/>
  <c r="E18" i="10" s="1"/>
  <c r="D17" i="10"/>
  <c r="E17" i="10" s="1"/>
  <c r="D16" i="10"/>
  <c r="E16" i="10" s="1"/>
  <c r="D15" i="10"/>
  <c r="E15" i="10" s="1"/>
  <c r="D14" i="10"/>
  <c r="E14" i="10" s="1"/>
  <c r="B23" i="8"/>
  <c r="B22" i="8"/>
  <c r="B21" i="8"/>
  <c r="B20" i="8"/>
  <c r="B19" i="8"/>
  <c r="B18" i="8"/>
  <c r="F17" i="8"/>
  <c r="D15" i="9"/>
  <c r="D16" i="9"/>
  <c r="D17" i="9"/>
  <c r="D18" i="9"/>
  <c r="D19" i="9"/>
  <c r="D20" i="9"/>
  <c r="D21" i="9"/>
  <c r="D22" i="9"/>
  <c r="D23" i="9"/>
  <c r="D24" i="9"/>
  <c r="D25" i="9"/>
  <c r="D14" i="9"/>
  <c r="E15" i="9"/>
  <c r="H15" i="9"/>
  <c r="K15" i="9"/>
  <c r="E16" i="9"/>
  <c r="E17" i="9"/>
  <c r="E18" i="9"/>
  <c r="E19" i="9"/>
  <c r="E20" i="9"/>
  <c r="E21" i="9"/>
  <c r="E22" i="9"/>
  <c r="E23" i="9"/>
  <c r="E24" i="9"/>
  <c r="E25" i="9"/>
  <c r="E14" i="9"/>
  <c r="K16" i="9"/>
  <c r="K17" i="9"/>
  <c r="K18" i="9"/>
  <c r="K19" i="9"/>
  <c r="K20" i="9"/>
  <c r="K21" i="9"/>
  <c r="K22" i="9"/>
  <c r="K23" i="9"/>
  <c r="K24" i="9"/>
  <c r="K25" i="9"/>
  <c r="H16" i="9"/>
  <c r="H17" i="9"/>
  <c r="H18" i="9"/>
  <c r="H19" i="9"/>
  <c r="H20" i="9"/>
  <c r="H21" i="9"/>
  <c r="H22" i="9"/>
  <c r="H23" i="9"/>
  <c r="H24" i="9"/>
  <c r="H25" i="9"/>
  <c r="C26" i="9"/>
  <c r="F17" i="7"/>
  <c r="F18" i="7"/>
  <c r="F19" i="7"/>
  <c r="F20" i="7"/>
  <c r="F21" i="7"/>
  <c r="F22" i="7"/>
  <c r="F23" i="7"/>
  <c r="F16" i="7"/>
  <c r="E17" i="7"/>
  <c r="E18" i="7"/>
  <c r="E19" i="7"/>
  <c r="E20" i="7"/>
  <c r="E21" i="7"/>
  <c r="E22" i="7"/>
  <c r="E23" i="7"/>
  <c r="E16" i="7"/>
  <c r="D24" i="7"/>
  <c r="E24" i="7"/>
  <c r="F24" i="7"/>
  <c r="C24" i="7"/>
  <c r="E13" i="6"/>
  <c r="E14" i="6"/>
  <c r="E15" i="6"/>
  <c r="E16" i="6"/>
  <c r="E17" i="6"/>
  <c r="E18" i="6"/>
  <c r="E19" i="6"/>
  <c r="E20" i="6"/>
  <c r="D13" i="6"/>
  <c r="D14" i="6"/>
  <c r="D15" i="6"/>
  <c r="D16" i="6"/>
  <c r="D17" i="6"/>
  <c r="D18" i="6"/>
  <c r="D19" i="6"/>
  <c r="D20" i="6"/>
  <c r="C20" i="6"/>
  <c r="F13" i="6"/>
  <c r="F14" i="6"/>
  <c r="G14" i="6" s="1"/>
  <c r="F15" i="6"/>
  <c r="G15" i="6" s="1"/>
  <c r="F16" i="6"/>
  <c r="G16" i="6" s="1"/>
  <c r="F17" i="6"/>
  <c r="G17" i="6" s="1"/>
  <c r="F18" i="6"/>
  <c r="G18" i="6" s="1"/>
  <c r="F19" i="6"/>
  <c r="G19" i="6" s="1"/>
  <c r="D12" i="5"/>
  <c r="C12" i="5"/>
  <c r="E7" i="5"/>
  <c r="E8" i="5"/>
  <c r="E9" i="5"/>
  <c r="E10" i="5"/>
  <c r="E11" i="5"/>
  <c r="E12" i="5"/>
  <c r="D9" i="5"/>
  <c r="C9" i="5"/>
  <c r="F15" i="4"/>
  <c r="E16" i="4" s="1"/>
  <c r="F13" i="4"/>
  <c r="G11" i="3"/>
  <c r="G12" i="3"/>
  <c r="G13" i="3"/>
  <c r="G14" i="3"/>
  <c r="G15" i="3"/>
  <c r="G16" i="3"/>
  <c r="G17" i="3"/>
  <c r="G18" i="3"/>
  <c r="G19" i="3"/>
  <c r="G20" i="3"/>
  <c r="G21" i="3"/>
  <c r="G22" i="3"/>
  <c r="G10" i="3"/>
  <c r="F11" i="3"/>
  <c r="F12" i="3"/>
  <c r="F13" i="3"/>
  <c r="F14" i="3"/>
  <c r="F15" i="3"/>
  <c r="F16" i="3"/>
  <c r="F17" i="3"/>
  <c r="F18" i="3"/>
  <c r="F19" i="3"/>
  <c r="F20" i="3"/>
  <c r="F21" i="3"/>
  <c r="F22" i="3"/>
  <c r="F10" i="3"/>
  <c r="D11" i="3"/>
  <c r="D12" i="3"/>
  <c r="D13" i="3"/>
  <c r="D14" i="3"/>
  <c r="D15" i="3"/>
  <c r="D16" i="3"/>
  <c r="D17" i="3"/>
  <c r="D18" i="3"/>
  <c r="D19" i="3"/>
  <c r="D20" i="3"/>
  <c r="D21" i="3"/>
  <c r="D23" i="3" s="1"/>
  <c r="D22" i="3"/>
  <c r="D10" i="3"/>
  <c r="E23" i="3"/>
  <c r="C23" i="3"/>
  <c r="H16" i="2"/>
  <c r="H10" i="2"/>
  <c r="H11" i="2"/>
  <c r="H12" i="2"/>
  <c r="H13" i="2"/>
  <c r="H9" i="2"/>
  <c r="G9" i="2"/>
  <c r="F9" i="2"/>
  <c r="F10" i="2"/>
  <c r="F11" i="2"/>
  <c r="F12" i="2"/>
  <c r="F13" i="2"/>
  <c r="G13" i="2" s="1"/>
  <c r="G10" i="2"/>
  <c r="G11" i="2"/>
  <c r="G12" i="2"/>
  <c r="G9" i="1"/>
  <c r="G10" i="1"/>
  <c r="G11" i="1"/>
  <c r="G8" i="1"/>
  <c r="D12" i="1"/>
  <c r="D13" i="1" s="1"/>
  <c r="E12" i="1"/>
  <c r="E13" i="1" s="1"/>
  <c r="F12" i="1"/>
  <c r="F13" i="1" s="1"/>
  <c r="C12" i="1"/>
  <c r="C13" i="1" s="1"/>
  <c r="D17" i="11" l="1"/>
  <c r="E11" i="11"/>
  <c r="F11" i="11" s="1"/>
  <c r="E12" i="11"/>
  <c r="F12" i="11" s="1"/>
  <c r="G12" i="11" s="1"/>
  <c r="E13" i="11"/>
  <c r="F13" i="11" s="1"/>
  <c r="G13" i="11" s="1"/>
  <c r="E14" i="11"/>
  <c r="F14" i="11" s="1"/>
  <c r="G14" i="11" s="1"/>
  <c r="E15" i="11"/>
  <c r="F15" i="11" s="1"/>
  <c r="G15" i="11" s="1"/>
  <c r="E16" i="11"/>
  <c r="F16" i="11" s="1"/>
  <c r="G16" i="11" s="1"/>
  <c r="C18" i="8"/>
  <c r="D18" i="8"/>
  <c r="F26" i="9"/>
  <c r="G15" i="9" s="1"/>
  <c r="D26" i="9"/>
  <c r="E26" i="9"/>
  <c r="G13" i="6"/>
  <c r="G20" i="6" s="1"/>
  <c r="F20" i="6"/>
  <c r="C16" i="4"/>
  <c r="D16" i="4"/>
  <c r="E14" i="4"/>
  <c r="E17" i="4" s="1"/>
  <c r="C14" i="4"/>
  <c r="D14" i="4"/>
  <c r="G23" i="3"/>
  <c r="F23" i="3"/>
  <c r="G12" i="1"/>
  <c r="G13" i="1" s="1"/>
  <c r="G16" i="2"/>
  <c r="F16" i="2"/>
  <c r="F17" i="11" l="1"/>
  <c r="G11" i="11"/>
  <c r="G17" i="11" s="1"/>
  <c r="E18" i="8"/>
  <c r="F18" i="8"/>
  <c r="G16" i="9"/>
  <c r="G17" i="9"/>
  <c r="G18" i="9"/>
  <c r="G20" i="9"/>
  <c r="G23" i="9"/>
  <c r="G19" i="9"/>
  <c r="H14" i="9"/>
  <c r="H26" i="9" s="1"/>
  <c r="G21" i="9"/>
  <c r="G22" i="9"/>
  <c r="G24" i="9"/>
  <c r="G25" i="9"/>
  <c r="G14" i="9"/>
  <c r="G26" i="9" s="1"/>
  <c r="I26" i="9"/>
  <c r="J15" i="9" s="1"/>
  <c r="D17" i="4"/>
  <c r="C17" i="4"/>
  <c r="F17" i="4" s="1"/>
  <c r="F16" i="4"/>
  <c r="F14" i="4"/>
  <c r="C19" i="8" l="1"/>
  <c r="D19" i="8" s="1"/>
  <c r="F19" i="8" s="1"/>
  <c r="E19" i="8"/>
  <c r="J24" i="9"/>
  <c r="J25" i="9"/>
  <c r="J16" i="9"/>
  <c r="J18" i="9"/>
  <c r="J20" i="9"/>
  <c r="J14" i="9"/>
  <c r="J21" i="9"/>
  <c r="J22" i="9"/>
  <c r="J23" i="9"/>
  <c r="J17" i="9"/>
  <c r="J19" i="9"/>
  <c r="K14" i="9"/>
  <c r="K26" i="9" s="1"/>
  <c r="C20" i="8" l="1"/>
  <c r="D20" i="8" s="1"/>
  <c r="J26" i="9"/>
  <c r="E20" i="8" l="1"/>
  <c r="F20" i="8"/>
  <c r="C21" i="8" l="1"/>
  <c r="D21" i="8" s="1"/>
  <c r="F21" i="8" s="1"/>
  <c r="E21" i="8"/>
  <c r="C22" i="8" l="1"/>
  <c r="D22" i="8" s="1"/>
  <c r="E22" i="8" l="1"/>
  <c r="F22" i="8"/>
  <c r="C23" i="8" l="1"/>
  <c r="D23" i="8" s="1"/>
  <c r="F23" i="8" s="1"/>
  <c r="E23" i="8"/>
</calcChain>
</file>

<file path=xl/sharedStrings.xml><?xml version="1.0" encoding="utf-8"?>
<sst xmlns="http://schemas.openxmlformats.org/spreadsheetml/2006/main" count="290" uniqueCount="229">
  <si>
    <t>Ejercicio  N* 1.</t>
  </si>
  <si>
    <t>Recibimos de las distintas sucursales de la empresa los datos correspondientes a las ventas en pesetas de cada vendedor en los distintos trimestres del año.</t>
  </si>
  <si>
    <t>Ventas del año 2000</t>
  </si>
  <si>
    <t>Vendedor</t>
  </si>
  <si>
    <t>Trimestre 1</t>
  </si>
  <si>
    <t>Trimestre 2</t>
  </si>
  <si>
    <t>Trimestre 3</t>
  </si>
  <si>
    <t>Trimestre 4</t>
  </si>
  <si>
    <t>Venta Total por Vendedor</t>
  </si>
  <si>
    <t>Miguel García</t>
  </si>
  <si>
    <t>Raúl Arzac</t>
  </si>
  <si>
    <t>Elena Casas</t>
  </si>
  <si>
    <t>Javier Martín</t>
  </si>
  <si>
    <t>Total</t>
  </si>
  <si>
    <t>Promedio</t>
  </si>
  <si>
    <t>Diseña una hoja de cálculo que refleje estos datos y permita obtener los siguientes conceptos:</t>
  </si>
  <si>
    <t>• Ventas totales por trimestres:</t>
  </si>
  <si>
    <t>• Ventas totales por vendedor:</t>
  </si>
  <si>
    <t>• Media mensual de ventas por vendedor:</t>
  </si>
  <si>
    <t>• Promedio de ventas por trimestre:</t>
  </si>
  <si>
    <t>EJERCICIO Nº 2</t>
  </si>
  <si>
    <t>A la vista de los datos que se presentan en el siguiente formato de factura, obtener:</t>
  </si>
  <si>
    <t>• El precio bruto, neto y con IVA para cada producto</t>
  </si>
  <si>
    <t>• El importe bruto, neto y con IVA de la factura</t>
  </si>
  <si>
    <t>ARTICULO</t>
  </si>
  <si>
    <t>PRECIO</t>
  </si>
  <si>
    <t>CANTIDAD</t>
  </si>
  <si>
    <t>BRUTO</t>
  </si>
  <si>
    <t>NETO</t>
  </si>
  <si>
    <t>TOTAL</t>
  </si>
  <si>
    <t>Impresora</t>
  </si>
  <si>
    <t>CPU Pentium II</t>
  </si>
  <si>
    <t>Monitor color</t>
  </si>
  <si>
    <t>Ratón</t>
  </si>
  <si>
    <t>Teclado</t>
  </si>
  <si>
    <t>TOT. BRUTO</t>
  </si>
  <si>
    <t>TOT. NETO</t>
  </si>
  <si>
    <t>NOTA: Considerar un IVA del 16%</t>
  </si>
  <si>
    <t xml:space="preserve">                                                                               </t>
  </si>
  <si>
    <t>EJERCICIO Nº 3</t>
  </si>
  <si>
    <t xml:space="preserve">Mantenemos una tabla con los datos correspondientes a las ventas y sueldos base de un grupo 
de comerciales, así como las comisiones establecidas en la empresa. Se desea elaborar un 
informe completo con los datos pendientes. </t>
  </si>
  <si>
    <t xml:space="preserve">Comisión 2% </t>
  </si>
  <si>
    <t>VENDEDOR</t>
  </si>
  <si>
    <t>VENTAS</t>
  </si>
  <si>
    <t>COMISION</t>
  </si>
  <si>
    <t>BASE</t>
  </si>
  <si>
    <t>%VENDEDOR</t>
  </si>
  <si>
    <t>Martín Peña</t>
  </si>
  <si>
    <t>González Suevo</t>
  </si>
  <si>
    <t>Arana Higueras</t>
  </si>
  <si>
    <t>Sierra Garzón</t>
  </si>
  <si>
    <t>Alvarez Justo</t>
  </si>
  <si>
    <t xml:space="preserve">Carnicer Heras </t>
  </si>
  <si>
    <t>Lopez Vara</t>
  </si>
  <si>
    <t>Hidalgo Jimena</t>
  </si>
  <si>
    <t>Vargas Cayo</t>
  </si>
  <si>
    <t>Hoffman Kocinski</t>
  </si>
  <si>
    <t>Lisado Hoyos</t>
  </si>
  <si>
    <t>Gracia Fraile</t>
  </si>
  <si>
    <t>Castro Suárez</t>
  </si>
  <si>
    <t>TOTALES</t>
  </si>
  <si>
    <t>EJERCICIO Nº 4</t>
  </si>
  <si>
    <t>A la vista de los siguientes datos sobre importaciones y exportaciones españolas en los años</t>
  </si>
  <si>
    <t>referidos y medidos en millones de pesetas:</t>
  </si>
  <si>
    <t>·  Solucionar la hoja de cálculo usando las fórmulas necesarias</t>
  </si>
  <si>
    <t>·  Confeccionar un gráfico de barras, donde se compare el volumen de importaciones</t>
  </si>
  <si>
    <t>frente al de exportaciones en cada año</t>
  </si>
  <si>
    <t>·  Confeccionar un gráfico de sectores donde se muestre la proporción del volumen de importaciones frente al de exportaciones en el año 1997</t>
  </si>
  <si>
    <t>AÑOS</t>
  </si>
  <si>
    <t>1998</t>
  </si>
  <si>
    <t>1999</t>
  </si>
  <si>
    <t>2000</t>
  </si>
  <si>
    <t>Exportaciones</t>
  </si>
  <si>
    <t>% sobre el total</t>
  </si>
  <si>
    <t>Importaciones</t>
  </si>
  <si>
    <t>DIFERENCIA Import/export (%)</t>
  </si>
  <si>
    <t>EJERCICIO Nº 5</t>
  </si>
  <si>
    <t>A la vista de los siguientes datos:</t>
  </si>
  <si>
    <t>RESULTADOS POR PRODUCTOS</t>
  </si>
  <si>
    <t>PROD. A</t>
  </si>
  <si>
    <t>PROD. B</t>
  </si>
  <si>
    <t>1. Ventas</t>
  </si>
  <si>
    <t>2. Devoluciones</t>
  </si>
  <si>
    <t>3. VENTAS NETAS (1 - 2)</t>
  </si>
  <si>
    <t>4. Amortizaciones</t>
  </si>
  <si>
    <t>5. Costes de producción</t>
  </si>
  <si>
    <t>6. MARGEN BRUTO (3 - 4 - 5)</t>
  </si>
  <si>
    <t>·  Completar los datos que faltan en la hoja</t>
  </si>
  <si>
    <t>·  Confeccionar un gráfico en el que se compare ventas netas y margen bruto de cada producto</t>
  </si>
  <si>
    <t>EJERCICIO Nº 6</t>
  </si>
  <si>
    <t>A la vista de la nómina de IRPF Asociados</t>
  </si>
  <si>
    <t>·  Calcular las columnas vacías, sabiendo que la retención practicada a priori sobre el
sueldo bruto es del 15% en concepto de IRPF y 2% en concepto de Seguridad Social
(SS)</t>
  </si>
  <si>
    <t>·  Calcular la paga mensual, sabiendo que son quince (15) pagas, distribuidas a lo largo del año
del año</t>
  </si>
  <si>
    <t>·  confeccionar un gráfico donde se compare la retención de IRPF para cada uno de los empleados</t>
  </si>
  <si>
    <t>NOMBRE</t>
  </si>
  <si>
    <t>SUELDO BRUTO</t>
  </si>
  <si>
    <t>IRPF</t>
  </si>
  <si>
    <t>SS</t>
  </si>
  <si>
    <t>SUELDO NETO</t>
  </si>
  <si>
    <t>PAGAS</t>
  </si>
  <si>
    <t>Ruíz</t>
  </si>
  <si>
    <t>Sandoval</t>
  </si>
  <si>
    <t>Antúnez</t>
  </si>
  <si>
    <t>Melendo</t>
  </si>
  <si>
    <t>Morales</t>
  </si>
  <si>
    <t>Izquierdo</t>
  </si>
  <si>
    <t>Rovira</t>
  </si>
  <si>
    <t>EJERCICIO Nº 7</t>
  </si>
  <si>
    <t>Diseñar una hoja de cálculo que muestre los consumos de cemento de las provincias andaluzas
durante los años 1999 y 2000. Una vez que tengamos la hoja, generar los siguientes gráficos :</t>
  </si>
  <si>
    <t>·  Gráficos de columnas que compare el consumo de cada provincia en cada año (no incluir los totales)</t>
  </si>
  <si>
    <t>·  Gráfico de columnas apiladas que muestre el consumo total de cemento en cada provincia durante los dos años</t>
  </si>
  <si>
    <t>·  Gráfico combinado que muestre comparativamente el consumo de cada provincia por años (en columnas) y los consumos medios (en líneas)</t>
  </si>
  <si>
    <t>Consumo de cemento en Andalucía</t>
  </si>
  <si>
    <t xml:space="preserve"> </t>
  </si>
  <si>
    <t>Tn 1994</t>
  </si>
  <si>
    <t>Tn 1995</t>
  </si>
  <si>
    <t>MEDIAS</t>
  </si>
  <si>
    <t>Almería</t>
  </si>
  <si>
    <t>Cádiz</t>
  </si>
  <si>
    <t>Córdoba</t>
  </si>
  <si>
    <t>Granada</t>
  </si>
  <si>
    <t>Huelva</t>
  </si>
  <si>
    <t>Jaén</t>
  </si>
  <si>
    <t>Málaga</t>
  </si>
  <si>
    <t>Sevilla</t>
  </si>
  <si>
    <t>Deseamos diseñar una tabla que nos permita determinar las cuotas a pagar para la devolución de
un préstamo durante un periodo determinado con un interés dado. El cálculo se realiza por el
método francés, que consiste en unas cuotas constantes, de las cuales una parte corresponde a
intereses y el resto a capital. Los intereses se recalculan en cada periodo tomando como base la
deuda pendiente.
Los datos que utilizaremos como entrada para los cálculos son los siguientes :
CAPITAL 1500000
N 6
TÉRMINO 290254,81
INTERÉS 4,44%
La tabla debe mantener la información que aparece a continuación :</t>
  </si>
  <si>
    <t>CAPITAL</t>
  </si>
  <si>
    <t>N (períodos)</t>
  </si>
  <si>
    <t>TÉRMINO</t>
  </si>
  <si>
    <t>INTERÉS</t>
  </si>
  <si>
    <t>EJERCICIO Nº 8</t>
  </si>
  <si>
    <t>PERIODO</t>
  </si>
  <si>
    <t>TERMINO</t>
  </si>
  <si>
    <t>CUOTA</t>
  </si>
  <si>
    <t>DEUDA</t>
  </si>
  <si>
    <t>AMORTIZATIVO</t>
  </si>
  <si>
    <t>AMORTIZADO</t>
  </si>
  <si>
    <t>PENDIENTE</t>
  </si>
  <si>
    <t>EJERCICIO Nº 9</t>
  </si>
  <si>
    <t xml:space="preserve">En el cuadro que aparece a continuación se muestran las cifras de ventas durante un periodo de 
tres años de una empresa determinada. En la columna del centro aparecen los totales anuales 
móviles (TAM), que son aquellos que recogen las ventas globales de los últimos doce meses a 
partir del considerado. </t>
  </si>
  <si>
    <t>Cifras de ventas mensuales y TAM correspondiente (millones de ptas)</t>
  </si>
  <si>
    <t>MESES</t>
  </si>
  <si>
    <t xml:space="preserve">AÑO 1 </t>
  </si>
  <si>
    <t xml:space="preserve">AÑO 2 </t>
  </si>
  <si>
    <t xml:space="preserve">AÑO 3 </t>
  </si>
  <si>
    <t>Ventas</t>
  </si>
  <si>
    <t>TAM</t>
  </si>
  <si>
    <t>%</t>
  </si>
  <si>
    <t>Enero</t>
  </si>
  <si>
    <t>Febrero</t>
  </si>
  <si>
    <t>Marzo</t>
  </si>
  <si>
    <t>Abril</t>
  </si>
  <si>
    <t>Mayo</t>
  </si>
  <si>
    <t>Junio</t>
  </si>
  <si>
    <t>Julio</t>
  </si>
  <si>
    <t>Agosto</t>
  </si>
  <si>
    <t>Septiembre</t>
  </si>
  <si>
    <t>Octubre</t>
  </si>
  <si>
    <t>Noviembre</t>
  </si>
  <si>
    <t>Diciembre</t>
  </si>
  <si>
    <t>Total Anual</t>
  </si>
  <si>
    <t>Las variaciones estacionales pueden evaluarse calculando el porcentaje que representa la cifra de ventas de cada mes sobre las ventas totales del año al que pertenece. Si se extrae la media de los porcentajes obtenidos para cada mes durante los años considerados, se tendrá un indicador de las variaciones estacionales.</t>
  </si>
  <si>
    <t>• Crear una tabla donde se reflejen los porcentajes de ventas de cada mes en cada año</t>
  </si>
  <si>
    <t>• Crear un gráfico que represente los porcentajes medios de venta durante un año.</t>
  </si>
  <si>
    <t>Disponemos de los datos correspondientes al consumo y renta de las familias españolas durante
un periodo de 15 años. Existe una clara relación causal entre el consumo (vble. dependiente) y la
renta familiar (vble. independiente)Datos de consumo y renta familiar</t>
  </si>
  <si>
    <t>DATOS DE CONSUMO Y RENTA FAMILIAR - ANÁLISIS DE REGRESIÓN</t>
  </si>
  <si>
    <t>AÑO</t>
  </si>
  <si>
    <t>RENTA</t>
  </si>
  <si>
    <t>CONSUMO REAL</t>
  </si>
  <si>
    <t>CONSUMO ESPERADO (regresión)</t>
  </si>
  <si>
    <t>ERROR (Real - Esperado)</t>
  </si>
  <si>
    <t>Modificar la factura del ejercicio 2 para incluir un descuento en el precio de los artículos en
función del volumen de compras. Obtener mediante la función SI el descuento que corresponda
sobre el importe bruto.
Modificar además el aspecto de la factura:
·  estableciendo formato de % o modelo monetario para las celdas que lo requieran
·  centrar los títulos de columnas y poner bordes a la factura</t>
  </si>
  <si>
    <t>EJERCICIO Nº 11</t>
  </si>
  <si>
    <t>ARTÍCULO</t>
  </si>
  <si>
    <t>DTO %</t>
  </si>
  <si>
    <t>TOTAL (IVA 16%)</t>
  </si>
  <si>
    <t>CPU Pentium</t>
  </si>
  <si>
    <t>Windows 95</t>
  </si>
  <si>
    <t>TABLA DE DESCUENTOS</t>
  </si>
  <si>
    <t>IMPORTE BRUTO</t>
  </si>
  <si>
    <t>DESCUENTO</t>
  </si>
  <si>
    <t>Hasta 50.000</t>
  </si>
  <si>
    <t>Hasta 150.000</t>
  </si>
  <si>
    <t>Más de 150.000</t>
  </si>
  <si>
    <t>La empresa XY pretende realizar un estudio estadístico de su fuerza de ventas en toda España.
Para ello, dispone de la siguiente información grabada en la hoja de cálculo :</t>
  </si>
  <si>
    <t>EJERCICIO Nº 12</t>
  </si>
  <si>
    <t>TABLA DE COMISIONES</t>
  </si>
  <si>
    <t>Importe Vtas</t>
  </si>
  <si>
    <t>Bonus</t>
  </si>
  <si>
    <t>Comisión</t>
  </si>
  <si>
    <t>ZONA</t>
  </si>
  <si>
    <t>BONUS</t>
  </si>
  <si>
    <t>COMISIÓN</t>
  </si>
  <si>
    <t>REMUNERACIÓN</t>
  </si>
  <si>
    <t>VTAS. NETAS</t>
  </si>
  <si>
    <t>Pérez</t>
  </si>
  <si>
    <t>Norte</t>
  </si>
  <si>
    <t>López</t>
  </si>
  <si>
    <t>Sur</t>
  </si>
  <si>
    <t>Gómez</t>
  </si>
  <si>
    <t>La empresa X dispone de una hoja de cálculo en la que mantiene los precios de todos sus
artículos. La lista de precios es la siguiente :</t>
  </si>
  <si>
    <t>EJERCICIO Nº 13</t>
  </si>
  <si>
    <t>Factor reducción:</t>
  </si>
  <si>
    <t>CATEGORÍA</t>
  </si>
  <si>
    <t>Precios</t>
  </si>
  <si>
    <t>PRECIO (con -3%)</t>
  </si>
  <si>
    <t>Altavoces Soundwave 40, 15W</t>
  </si>
  <si>
    <t>Multimedia</t>
  </si>
  <si>
    <t>Altavoces Soundwave 20, 25W</t>
  </si>
  <si>
    <t>Altavoces Soundwave 10, 80W</t>
  </si>
  <si>
    <t>Tarj. Sonido S. Blaster+micro+altavoces estéreo</t>
  </si>
  <si>
    <t>Tarj. Sonido S. Blaster 16 bits+atlv. 15W</t>
  </si>
  <si>
    <t>Kit Multim. (CD-ROM+KIT SONIDO 16bits+atlv. 15W)</t>
  </si>
  <si>
    <t>Kit Multim. (CD-ROM+KIT SONIDO 16bits+atlv. 25W)</t>
  </si>
  <si>
    <t>Kit Multim. (CD-ROM+KIT SONIDO 16bits+atlv. 80W)</t>
  </si>
  <si>
    <t>CD-ROM doble velocidad IDE</t>
  </si>
  <si>
    <t>CD-ROM triple velocidad IDE</t>
  </si>
  <si>
    <t>CD-ROM cuádruple velocidad IDE</t>
  </si>
  <si>
    <t>Escaner Trust 256 tonos de grises</t>
  </si>
  <si>
    <t>Escáners</t>
  </si>
  <si>
    <t>Escáner Trust Color 400ppi, 16,8 mill. de colores</t>
  </si>
  <si>
    <t>Escáner Trust Sobremesa A4 1200ppi</t>
  </si>
  <si>
    <t>Escáner Trust Sobremesa A4 2400ppi</t>
  </si>
  <si>
    <t>AMILAN-200 ETHERNET CARD</t>
  </si>
  <si>
    <t>Tarjetas red y módems</t>
  </si>
  <si>
    <t>AMILAN 890 ETHERNET POCKET</t>
  </si>
  <si>
    <t>Tarjeta FAX-MODEM 2.400 Baudios, V23 V24bis, Interno</t>
  </si>
  <si>
    <t>Tarjeta FAX-MODEM 14.400 Baudios HighSpeed</t>
  </si>
  <si>
    <t>TOTAL DEL ARTICULO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</si>
</sst>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_-&quot;$&quot;\ * #,##0_-;\-&quot;$&quot;\ * #,##0_-;_-&quot;$&quot;\ * &quot;-&quot;??_-;_-@_-"/>
  </numFmts>
  <fonts count="27">
    <font>
      <sz val="11"/>
      <color theme="1"/>
      <name val="Aptos Narrow"/>
      <family val="2"/>
      <scheme val="minor"/>
    </font>
    <font>
      <sz val="11"/>
      <color theme="1"/>
      <name val="Aptos Narrow"/>
      <family val="2"/>
      <scheme val="minor"/>
    </font>
    <font>
      <sz val="13"/>
      <color theme="1"/>
      <name val="Aptos Narrow"/>
      <family val="2"/>
      <scheme val="minor"/>
    </font>
    <font>
      <sz val="16"/>
      <color theme="1"/>
      <name val="Aptos Narrow"/>
      <family val="2"/>
      <scheme val="minor"/>
    </font>
    <font>
      <sz val="16"/>
      <color theme="1"/>
      <name val="Congenial"/>
    </font>
    <font>
      <sz val="8"/>
      <name val="Aptos Narrow"/>
      <family val="2"/>
      <scheme val="minor"/>
    </font>
    <font>
      <sz val="11"/>
      <color theme="1"/>
      <name val="Congenial"/>
    </font>
    <font>
      <sz val="13"/>
      <color theme="1"/>
      <name val="Congenial"/>
    </font>
    <font>
      <sz val="14"/>
      <color theme="1"/>
      <name val="Congenial"/>
    </font>
    <font>
      <sz val="18"/>
      <color theme="1"/>
      <name val="Congenial"/>
    </font>
    <font>
      <sz val="18"/>
      <color theme="1"/>
      <name val="Jumble"/>
    </font>
    <font>
      <b/>
      <sz val="14"/>
      <color theme="1"/>
      <name val="Congenial"/>
    </font>
    <font>
      <b/>
      <sz val="11"/>
      <color theme="1"/>
      <name val="Aptos Narrow"/>
      <family val="2"/>
      <scheme val="minor"/>
    </font>
    <font>
      <b/>
      <sz val="11"/>
      <color theme="0"/>
      <name val="Aptos Narrow"/>
      <family val="2"/>
      <scheme val="minor"/>
    </font>
    <font>
      <sz val="10"/>
      <color theme="1"/>
      <name val="Arial"/>
      <family val="2"/>
    </font>
    <font>
      <b/>
      <sz val="10"/>
      <color theme="1"/>
      <name val="Arial"/>
      <family val="2"/>
    </font>
    <font>
      <b/>
      <sz val="11"/>
      <name val="Arial"/>
      <family val="2"/>
    </font>
    <font>
      <sz val="14"/>
      <color theme="1"/>
      <name val="Aptos Narrow"/>
      <family val="2"/>
      <scheme val="minor"/>
    </font>
    <font>
      <b/>
      <sz val="10"/>
      <color rgb="FFFFFFFF"/>
      <name val="Arial"/>
      <family val="2"/>
    </font>
    <font>
      <b/>
      <sz val="14"/>
      <name val="Congenial"/>
    </font>
    <font>
      <b/>
      <sz val="11"/>
      <name val="Arial"/>
      <charset val="1"/>
    </font>
    <font>
      <sz val="11"/>
      <name val="Congenial"/>
    </font>
    <font>
      <sz val="10"/>
      <color rgb="FF000000"/>
      <name val="Congenial"/>
    </font>
    <font>
      <b/>
      <sz val="10"/>
      <color rgb="FFFFFFFF"/>
      <name val="Congenial"/>
    </font>
    <font>
      <i/>
      <sz val="11"/>
      <color rgb="FFFF0000"/>
      <name val="Arial"/>
      <charset val="1"/>
    </font>
    <font>
      <b/>
      <sz val="11"/>
      <name val="Congenial"/>
    </font>
    <font>
      <b/>
      <sz val="10"/>
      <color rgb="FF000000"/>
      <name val="Congenial"/>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0"/>
        <bgColor indexed="64"/>
      </patternFill>
    </fill>
    <fill>
      <patternFill patternType="solid">
        <fgColor theme="7" tint="0.79998168889431442"/>
        <bgColor theme="4" tint="0.79998168889431442"/>
      </patternFill>
    </fill>
    <fill>
      <patternFill patternType="solid">
        <fgColor rgb="FF1F4E79"/>
        <bgColor rgb="FF003366"/>
      </patternFill>
    </fill>
    <fill>
      <patternFill patternType="solid">
        <fgColor rgb="FFBDD7EE"/>
        <bgColor rgb="FF99CCFF"/>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rgb="FFCCCCCC"/>
      </left>
      <right/>
      <top style="medium">
        <color rgb="FFCCCCCC"/>
      </top>
      <bottom/>
      <diagonal/>
    </border>
    <border>
      <left style="medium">
        <color rgb="FFCCCCCC"/>
      </left>
      <right/>
      <top style="thin">
        <color theme="4" tint="0.39997558519241921"/>
      </top>
      <bottom/>
      <diagonal/>
    </border>
    <border>
      <left style="medium">
        <color rgb="FFCCCCCC"/>
      </left>
      <right/>
      <top style="medium">
        <color rgb="FFCCCCCC"/>
      </top>
      <bottom style="thin">
        <color theme="4" tint="0.39997558519241921"/>
      </bottom>
      <diagonal/>
    </border>
    <border>
      <left style="medium">
        <color rgb="FFCCCCCC"/>
      </left>
      <right/>
      <top style="thin">
        <color theme="4" tint="0.39997558519241921"/>
      </top>
      <bottom style="thin">
        <color theme="4" tint="0.39997558519241921"/>
      </bottom>
      <diagonal/>
    </border>
  </borders>
  <cellStyleXfs count="2">
    <xf numFmtId="0" fontId="0" fillId="0" borderId="0"/>
    <xf numFmtId="164" fontId="1" fillId="0" borderId="0" applyFont="0" applyFill="0" applyBorder="0" applyAlignment="0" applyProtection="0"/>
  </cellStyleXfs>
  <cellXfs count="129">
    <xf numFmtId="0" fontId="0" fillId="0" borderId="0" xfId="0"/>
    <xf numFmtId="0" fontId="0" fillId="0" borderId="0" xfId="0" applyAlignment="1">
      <alignment horizontal="center"/>
    </xf>
    <xf numFmtId="0" fontId="2" fillId="0" borderId="0" xfId="0" applyFont="1" applyAlignment="1">
      <alignment vertical="center"/>
    </xf>
    <xf numFmtId="0" fontId="4" fillId="0" borderId="0" xfId="0" applyFont="1" applyAlignment="1">
      <alignment vertical="center"/>
    </xf>
    <xf numFmtId="0" fontId="0" fillId="0" borderId="1" xfId="0" applyBorder="1"/>
    <xf numFmtId="3" fontId="0" fillId="0" borderId="1" xfId="0" applyNumberFormat="1" applyBorder="1"/>
    <xf numFmtId="0" fontId="3" fillId="0" borderId="0" xfId="0" applyFont="1" applyAlignment="1">
      <alignment horizontal="left" vertical="center"/>
    </xf>
    <xf numFmtId="0" fontId="3" fillId="0" borderId="0" xfId="0" applyFont="1" applyAlignment="1">
      <alignment vertical="center"/>
    </xf>
    <xf numFmtId="0" fontId="7" fillId="0" borderId="0" xfId="0" applyFont="1" applyAlignment="1">
      <alignment vertical="center"/>
    </xf>
    <xf numFmtId="0" fontId="6" fillId="0" borderId="0" xfId="0" applyFont="1"/>
    <xf numFmtId="165" fontId="8" fillId="0" borderId="1" xfId="1" applyNumberFormat="1" applyFont="1" applyBorder="1" applyAlignment="1">
      <alignment horizontal="center" vertical="center"/>
    </xf>
    <xf numFmtId="165" fontId="8" fillId="0" borderId="1" xfId="1" applyNumberFormat="1" applyFont="1" applyBorder="1"/>
    <xf numFmtId="0" fontId="4" fillId="0" borderId="1" xfId="0" applyFont="1" applyBorder="1"/>
    <xf numFmtId="3" fontId="4" fillId="0" borderId="1" xfId="0" applyNumberFormat="1" applyFont="1" applyBorder="1"/>
    <xf numFmtId="0" fontId="4" fillId="0" borderId="0" xfId="0" applyFont="1"/>
    <xf numFmtId="0" fontId="8" fillId="0" borderId="0" xfId="0" applyFont="1"/>
    <xf numFmtId="0" fontId="8" fillId="0" borderId="3" xfId="0" applyFont="1" applyBorder="1" applyAlignment="1">
      <alignment horizontal="center" vertical="center"/>
    </xf>
    <xf numFmtId="165" fontId="8" fillId="0" borderId="2" xfId="1" applyNumberFormat="1" applyFont="1" applyFill="1" applyBorder="1" applyAlignment="1">
      <alignment horizontal="center" vertical="center"/>
    </xf>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8" fillId="0" borderId="9" xfId="0" applyFont="1" applyBorder="1"/>
    <xf numFmtId="0" fontId="8" fillId="0" borderId="10" xfId="0" applyFont="1" applyBorder="1"/>
    <xf numFmtId="0" fontId="8" fillId="0" borderId="11" xfId="0" applyFont="1" applyBorder="1" applyAlignment="1">
      <alignment wrapText="1"/>
    </xf>
    <xf numFmtId="0" fontId="8" fillId="0" borderId="12" xfId="0" applyFont="1" applyBorder="1"/>
    <xf numFmtId="0" fontId="0" fillId="0" borderId="3" xfId="0" applyBorder="1"/>
    <xf numFmtId="3" fontId="0" fillId="0" borderId="2" xfId="0" applyNumberFormat="1" applyBorder="1"/>
    <xf numFmtId="0" fontId="0" fillId="0" borderId="13" xfId="0" applyBorder="1" applyAlignment="1">
      <alignment wrapText="1"/>
    </xf>
    <xf numFmtId="0" fontId="0" fillId="0" borderId="14" xfId="0" applyBorder="1"/>
    <xf numFmtId="0" fontId="0" fillId="0" borderId="15" xfId="0" applyBorder="1"/>
    <xf numFmtId="0" fontId="0" fillId="0" borderId="16" xfId="0" applyBorder="1"/>
    <xf numFmtId="3" fontId="0" fillId="0" borderId="4" xfId="0" applyNumberFormat="1" applyBorder="1"/>
    <xf numFmtId="3" fontId="0" fillId="0" borderId="17" xfId="0" applyNumberFormat="1" applyBorder="1"/>
    <xf numFmtId="0" fontId="4" fillId="0" borderId="3" xfId="0" applyFont="1" applyBorder="1"/>
    <xf numFmtId="0" fontId="4" fillId="0" borderId="2" xfId="0" applyFont="1" applyBorder="1"/>
    <xf numFmtId="0" fontId="4" fillId="0" borderId="13"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4" fillId="0" borderId="16" xfId="0" applyFont="1" applyBorder="1"/>
    <xf numFmtId="3" fontId="4" fillId="0" borderId="4" xfId="0" applyNumberFormat="1" applyFont="1" applyBorder="1"/>
    <xf numFmtId="0" fontId="4" fillId="0" borderId="4" xfId="0" applyFont="1" applyBorder="1"/>
    <xf numFmtId="0" fontId="4" fillId="0" borderId="17" xfId="0" applyFont="1" applyBorder="1"/>
    <xf numFmtId="0" fontId="4" fillId="0" borderId="13" xfId="0" applyFont="1" applyBorder="1"/>
    <xf numFmtId="0" fontId="4" fillId="0" borderId="14" xfId="0" applyFont="1" applyBorder="1"/>
    <xf numFmtId="0" fontId="4" fillId="0" borderId="15" xfId="0" applyFont="1" applyBorder="1"/>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165" fontId="8" fillId="0" borderId="4" xfId="1" applyNumberFormat="1" applyFont="1" applyBorder="1"/>
    <xf numFmtId="165" fontId="8" fillId="0" borderId="17" xfId="1" applyNumberFormat="1" applyFont="1" applyBorder="1" applyAlignment="1">
      <alignment horizontal="center"/>
    </xf>
    <xf numFmtId="0" fontId="11" fillId="0" borderId="0" xfId="0" applyFont="1" applyAlignment="1">
      <alignment horizontal="center" vertical="center"/>
    </xf>
    <xf numFmtId="165" fontId="11" fillId="0" borderId="0" xfId="1" applyNumberFormat="1" applyFont="1" applyBorder="1"/>
    <xf numFmtId="0" fontId="12" fillId="0" borderId="0" xfId="0" applyFont="1"/>
    <xf numFmtId="0" fontId="8" fillId="0" borderId="5" xfId="0" applyFont="1" applyBorder="1" applyAlignment="1">
      <alignment wrapText="1"/>
    </xf>
    <xf numFmtId="0" fontId="0" fillId="0" borderId="0" xfId="0" applyAlignment="1">
      <alignment wrapText="1"/>
    </xf>
    <xf numFmtId="3" fontId="6" fillId="0" borderId="0" xfId="0" applyNumberFormat="1" applyFont="1"/>
    <xf numFmtId="0" fontId="8" fillId="0" borderId="0" xfId="0" applyFont="1" applyAlignment="1">
      <alignment vertical="center"/>
    </xf>
    <xf numFmtId="0" fontId="8" fillId="0" borderId="0" xfId="0" applyFont="1" applyAlignment="1">
      <alignment vertical="top" wrapText="1"/>
    </xf>
    <xf numFmtId="0" fontId="13" fillId="2" borderId="21" xfId="0" applyFont="1" applyFill="1" applyBorder="1"/>
    <xf numFmtId="0" fontId="0" fillId="3" borderId="21" xfId="0" applyFont="1" applyFill="1" applyBorder="1"/>
    <xf numFmtId="0" fontId="0" fillId="0" borderId="21" xfId="0" applyFont="1" applyBorder="1"/>
    <xf numFmtId="0" fontId="0" fillId="0" borderId="22" xfId="0" applyFont="1" applyBorder="1"/>
    <xf numFmtId="0" fontId="0" fillId="0" borderId="23" xfId="0" applyFont="1" applyBorder="1"/>
    <xf numFmtId="0" fontId="14" fillId="0" borderId="24" xfId="0" applyFont="1" applyBorder="1" applyAlignment="1">
      <alignment horizontal="right" wrapText="1"/>
    </xf>
    <xf numFmtId="0" fontId="0" fillId="0" borderId="25" xfId="0" applyFont="1" applyBorder="1"/>
    <xf numFmtId="0" fontId="14" fillId="3" borderId="24" xfId="0" applyFont="1" applyFill="1" applyBorder="1" applyAlignment="1">
      <alignment horizontal="right" wrapText="1"/>
    </xf>
    <xf numFmtId="10" fontId="0" fillId="0" borderId="22" xfId="0" applyNumberFormat="1" applyFont="1" applyBorder="1"/>
    <xf numFmtId="0" fontId="0" fillId="4" borderId="25" xfId="0" applyFont="1" applyFill="1" applyBorder="1"/>
    <xf numFmtId="0" fontId="0" fillId="5" borderId="25" xfId="0" applyFont="1" applyFill="1" applyBorder="1"/>
    <xf numFmtId="10" fontId="0" fillId="4" borderId="22" xfId="0" applyNumberFormat="1" applyFont="1" applyFill="1" applyBorder="1"/>
    <xf numFmtId="0" fontId="14" fillId="6" borderId="24" xfId="0" applyFont="1" applyFill="1" applyBorder="1" applyAlignment="1">
      <alignment horizontal="right" wrapText="1"/>
    </xf>
    <xf numFmtId="0" fontId="0" fillId="4" borderId="22" xfId="0" applyFont="1" applyFill="1" applyBorder="1"/>
    <xf numFmtId="0" fontId="0" fillId="4" borderId="23" xfId="0" applyFont="1" applyFill="1" applyBorder="1"/>
    <xf numFmtId="0" fontId="0" fillId="6" borderId="21" xfId="0" applyFont="1" applyFill="1" applyBorder="1"/>
    <xf numFmtId="0" fontId="12" fillId="6" borderId="18" xfId="0" applyFont="1" applyFill="1" applyBorder="1"/>
    <xf numFmtId="0" fontId="15" fillId="4" borderId="26" xfId="0" applyFont="1" applyFill="1" applyBorder="1" applyAlignment="1">
      <alignment horizontal="right" wrapText="1"/>
    </xf>
    <xf numFmtId="0" fontId="12" fillId="6" borderId="27" xfId="0" applyFont="1" applyFill="1" applyBorder="1"/>
    <xf numFmtId="0" fontId="12" fillId="6" borderId="19" xfId="0" applyFont="1" applyFill="1" applyBorder="1"/>
    <xf numFmtId="0" fontId="0" fillId="6" borderId="22" xfId="0" applyFont="1" applyFill="1" applyBorder="1"/>
    <xf numFmtId="0" fontId="0" fillId="6" borderId="23" xfId="0" applyFont="1" applyFill="1" applyBorder="1"/>
    <xf numFmtId="0" fontId="8" fillId="0" borderId="0" xfId="0" applyFont="1" applyAlignment="1">
      <alignment horizontal="center" vertical="top" wrapText="1"/>
    </xf>
    <xf numFmtId="0" fontId="0" fillId="0" borderId="0" xfId="0" applyAlignment="1">
      <alignment horizontal="left" vertical="center"/>
    </xf>
    <xf numFmtId="9" fontId="0" fillId="0" borderId="0" xfId="0" applyNumberFormat="1"/>
    <xf numFmtId="0" fontId="16" fillId="0" borderId="0" xfId="0" applyFont="1"/>
    <xf numFmtId="4" fontId="0" fillId="0" borderId="0" xfId="0" applyNumberFormat="1"/>
    <xf numFmtId="10" fontId="0" fillId="0" borderId="0" xfId="0" applyNumberFormat="1"/>
    <xf numFmtId="4" fontId="0" fillId="0" borderId="1" xfId="0" applyNumberFormat="1" applyBorder="1"/>
    <xf numFmtId="2" fontId="0" fillId="0" borderId="1" xfId="0" applyNumberFormat="1" applyBorder="1"/>
    <xf numFmtId="0" fontId="18" fillId="7" borderId="1" xfId="0" applyFont="1" applyFill="1" applyBorder="1" applyAlignment="1">
      <alignment horizontal="center" wrapText="1"/>
    </xf>
    <xf numFmtId="0" fontId="19" fillId="0" borderId="0" xfId="0" applyFont="1" applyAlignment="1"/>
    <xf numFmtId="0" fontId="8" fillId="0" borderId="0" xfId="0" applyFont="1" applyAlignment="1"/>
    <xf numFmtId="0" fontId="4" fillId="0" borderId="0" xfId="0" applyFont="1" applyAlignment="1">
      <alignment horizontal="left"/>
    </xf>
    <xf numFmtId="0" fontId="8" fillId="0" borderId="0" xfId="0" applyFont="1" applyAlignment="1">
      <alignment horizontal="lef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left" vertical="center"/>
    </xf>
    <xf numFmtId="0" fontId="9" fillId="0" borderId="1" xfId="0" applyFont="1" applyBorder="1" applyAlignment="1">
      <alignment horizontal="center" vertical="center"/>
    </xf>
    <xf numFmtId="0" fontId="4" fillId="0" borderId="0" xfId="0" applyFont="1" applyAlignment="1">
      <alignment horizontal="left" vertical="center"/>
    </xf>
    <xf numFmtId="0" fontId="9" fillId="0" borderId="0" xfId="0" applyFont="1" applyAlignment="1">
      <alignment horizontal="center" vertical="center"/>
    </xf>
    <xf numFmtId="0" fontId="4" fillId="0" borderId="0" xfId="0" applyFont="1" applyAlignment="1">
      <alignment horizontal="center" vertical="center"/>
    </xf>
    <xf numFmtId="165" fontId="11" fillId="0" borderId="0" xfId="1" applyNumberFormat="1" applyFont="1" applyBorder="1" applyAlignment="1">
      <alignment horizontal="center"/>
    </xf>
    <xf numFmtId="0" fontId="4" fillId="0" borderId="0" xfId="0" applyFont="1" applyAlignment="1">
      <alignment horizontal="left"/>
    </xf>
    <xf numFmtId="0" fontId="10" fillId="0" borderId="0" xfId="0" applyFont="1" applyAlignment="1">
      <alignment horizontal="center"/>
    </xf>
    <xf numFmtId="0" fontId="9" fillId="0" borderId="4" xfId="0" applyFont="1" applyBorder="1" applyAlignment="1">
      <alignment horizontal="center"/>
    </xf>
    <xf numFmtId="0" fontId="8" fillId="0" borderId="0" xfId="0" applyFont="1" applyAlignment="1">
      <alignment horizontal="center" vertical="center" wrapText="1"/>
    </xf>
    <xf numFmtId="0" fontId="8" fillId="0" borderId="0" xfId="0" applyFont="1" applyAlignment="1">
      <alignment horizontal="left"/>
    </xf>
    <xf numFmtId="0" fontId="8" fillId="0" borderId="0" xfId="0" applyFont="1" applyAlignment="1">
      <alignment horizontal="left" wrapText="1"/>
    </xf>
    <xf numFmtId="0" fontId="7" fillId="0" borderId="0" xfId="0" applyFont="1" applyAlignment="1">
      <alignment horizontal="left" vertical="center" wrapText="1"/>
    </xf>
    <xf numFmtId="0" fontId="7" fillId="0" borderId="0" xfId="0" applyFont="1" applyAlignment="1">
      <alignment horizontal="left" vertical="center"/>
    </xf>
    <xf numFmtId="0" fontId="8" fillId="0" borderId="0" xfId="0" applyFont="1" applyAlignment="1">
      <alignment horizontal="left" vertical="top" wrapText="1"/>
    </xf>
    <xf numFmtId="0" fontId="13" fillId="2" borderId="19" xfId="0" applyFont="1" applyFill="1" applyBorder="1" applyAlignment="1">
      <alignment horizontal="center" vertical="center"/>
    </xf>
    <xf numFmtId="0" fontId="13" fillId="2" borderId="20" xfId="0" applyFont="1" applyFill="1" applyBorder="1" applyAlignment="1">
      <alignment horizontal="center" vertical="center"/>
    </xf>
    <xf numFmtId="0" fontId="17" fillId="0" borderId="0" xfId="0" applyFont="1" applyAlignment="1">
      <alignment horizontal="left" vertical="center" wrapText="1"/>
    </xf>
    <xf numFmtId="0" fontId="17" fillId="0" borderId="0" xfId="0" applyFont="1" applyAlignment="1">
      <alignment horizontal="left" vertical="center"/>
    </xf>
    <xf numFmtId="0" fontId="22" fillId="8" borderId="1" xfId="0" applyFont="1" applyFill="1" applyBorder="1" applyAlignment="1">
      <alignment horizontal="center" vertical="center"/>
    </xf>
    <xf numFmtId="3" fontId="6" fillId="0" borderId="1" xfId="0" applyNumberFormat="1" applyFont="1" applyBorder="1"/>
    <xf numFmtId="9" fontId="6" fillId="0" borderId="1" xfId="0" applyNumberFormat="1" applyFont="1" applyBorder="1"/>
    <xf numFmtId="0" fontId="23" fillId="7" borderId="1" xfId="0" applyFont="1" applyFill="1" applyBorder="1" applyAlignment="1">
      <alignment horizontal="center" vertical="center"/>
    </xf>
    <xf numFmtId="0" fontId="6" fillId="0" borderId="1" xfId="0" applyFont="1" applyBorder="1"/>
    <xf numFmtId="0" fontId="24" fillId="0" borderId="0" xfId="0" applyFont="1"/>
    <xf numFmtId="0" fontId="20" fillId="0" borderId="0" xfId="0" applyFont="1"/>
    <xf numFmtId="165" fontId="6" fillId="0" borderId="1" xfId="1" applyNumberFormat="1" applyFont="1" applyBorder="1"/>
    <xf numFmtId="0" fontId="25" fillId="0" borderId="1" xfId="0" applyFont="1" applyBorder="1"/>
    <xf numFmtId="3" fontId="25" fillId="0" borderId="1" xfId="0" applyNumberFormat="1" applyFont="1" applyBorder="1"/>
    <xf numFmtId="0" fontId="25" fillId="0" borderId="0" xfId="0" applyFont="1"/>
    <xf numFmtId="0" fontId="26" fillId="8" borderId="1" xfId="0" applyFont="1" applyFill="1" applyBorder="1" applyAlignment="1">
      <alignment horizontal="center" vertical="center"/>
    </xf>
    <xf numFmtId="0" fontId="21" fillId="0" borderId="0" xfId="0" applyFont="1" applyAlignment="1"/>
  </cellXfs>
  <cellStyles count="2">
    <cellStyle name="Moneda" xfId="1" builtinId="4"/>
    <cellStyle name="Normal" xfId="0" builtinId="0"/>
  </cellStyles>
  <dxfs count="61">
    <dxf>
      <font>
        <b val="0"/>
        <i val="0"/>
        <name val="Congenial"/>
      </font>
      <numFmt numFmtId="0" formatCode="General"/>
    </dxf>
    <dxf>
      <font>
        <b val="0"/>
        <i val="0"/>
        <name val="Congenial"/>
      </font>
      <numFmt numFmtId="3" formatCode="#,##0"/>
    </dxf>
    <dxf>
      <font>
        <b val="0"/>
        <i val="0"/>
        <name val="Congenial"/>
      </font>
      <numFmt numFmtId="0" formatCode="General"/>
    </dxf>
    <dxf>
      <font>
        <b val="0"/>
        <i val="0"/>
        <name val="Congenial"/>
      </font>
      <numFmt numFmtId="0" formatCode="General"/>
    </dxf>
    <dxf>
      <font>
        <b val="0"/>
        <i val="0"/>
        <name val="Congenial"/>
      </font>
    </dxf>
    <dxf>
      <font>
        <b val="0"/>
        <i val="0"/>
        <name val="Congenial"/>
      </font>
    </dxf>
    <dxf>
      <font>
        <b val="0"/>
        <i val="0"/>
        <name val="Congenial"/>
      </font>
    </dxf>
    <dxf>
      <font>
        <b val="0"/>
        <i val="0"/>
        <name val="Congenial"/>
      </font>
    </dxf>
    <dxf>
      <font>
        <b val="0"/>
        <i val="0"/>
        <sz val="14"/>
        <name val="Congenial"/>
      </font>
      <numFmt numFmtId="0" formatCode="General"/>
    </dxf>
    <dxf>
      <font>
        <b val="0"/>
        <i val="0"/>
        <sz val="14"/>
        <name val="Congenial"/>
      </font>
    </dxf>
    <dxf>
      <font>
        <b val="0"/>
        <i val="0"/>
        <sz val="14"/>
        <name val="Congenial"/>
      </font>
    </dxf>
    <dxf>
      <font>
        <b val="0"/>
        <i val="0"/>
        <sz val="14"/>
        <name val="Congenial"/>
      </font>
    </dxf>
    <dxf>
      <font>
        <b val="0"/>
        <i val="0"/>
        <sz val="14"/>
        <name val="Congenial"/>
      </font>
    </dxf>
    <dxf>
      <font>
        <b val="0"/>
        <i val="0"/>
        <sz val="14"/>
        <name val="Congenial"/>
      </font>
    </dxf>
    <dxf>
      <font>
        <b val="0"/>
        <i val="0"/>
        <strike val="0"/>
        <condense val="0"/>
        <extend val="0"/>
        <outline val="0"/>
        <shadow val="0"/>
        <u val="none"/>
        <vertAlign val="baseline"/>
        <sz val="14"/>
        <color theme="1"/>
        <name val="Congenial"/>
        <scheme val="none"/>
      </font>
      <numFmt numFmtId="0" formatCode="General"/>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4"/>
        <color theme="1"/>
        <name val="Congen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Congen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Congen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Congenial"/>
        <scheme val="none"/>
      </font>
      <alignment horizontal="general"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4"/>
        <color theme="1"/>
        <name val="Congenial"/>
        <scheme val="none"/>
      </font>
    </dxf>
    <dxf>
      <font>
        <b val="0"/>
        <i val="0"/>
        <strike val="0"/>
        <condense val="0"/>
        <extend val="0"/>
        <outline val="0"/>
        <shadow val="0"/>
        <u val="none"/>
        <vertAlign val="baseline"/>
        <sz val="14"/>
        <color theme="1"/>
        <name val="Congenial"/>
        <scheme val="none"/>
      </font>
      <border diagonalUp="0" diagonalDown="0" outline="0">
        <left style="thin">
          <color rgb="FF000000"/>
        </left>
        <right style="thin">
          <color rgb="FF000000"/>
        </right>
        <top/>
        <bottom/>
      </border>
    </dxf>
    <dxf>
      <numFmt numFmtId="3" formatCode="#,##0"/>
      <border diagonalUp="0" diagonalDown="0">
        <left style="thin">
          <color indexed="64"/>
        </left>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Congenial"/>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6"/>
        <color theme="1"/>
        <name val="Congenial"/>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6"/>
        <color theme="1"/>
        <name val="Congenial"/>
        <scheme val="none"/>
      </font>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ongenial"/>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Congenial"/>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Congen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ongen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ongen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ongenial"/>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Congenial"/>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ongenial"/>
        <scheme val="none"/>
      </font>
    </dxf>
    <dxf>
      <font>
        <b val="0"/>
        <i val="0"/>
        <strike val="0"/>
        <condense val="0"/>
        <extend val="0"/>
        <outline val="0"/>
        <shadow val="0"/>
        <u val="none"/>
        <vertAlign val="baseline"/>
        <sz val="16"/>
        <color theme="1"/>
        <name val="Congenial"/>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ongenial"/>
        <scheme val="none"/>
      </font>
      <numFmt numFmtId="165" formatCode="_-&quot;$&quot;\ * #,##0_-;\-&quot;$&quot;\ * #,##0_-;_-&quot;$&quot;\ *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ongenial"/>
        <scheme val="none"/>
      </font>
      <numFmt numFmtId="165" formatCode="_-&quot;$&quot;\ * #,##0_-;\-&quot;$&quot;\ * #,##0_-;_-&quot;$&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ongenial"/>
        <scheme val="none"/>
      </font>
      <numFmt numFmtId="165" formatCode="_-&quot;$&quot;\ * #,##0_-;\-&quot;$&quot;\ * #,##0_-;_-&quot;$&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ongenial"/>
        <scheme val="none"/>
      </font>
      <numFmt numFmtId="165" formatCode="_-&quot;$&quot;\ * #,##0_-;\-&quot;$&quot;\ * #,##0_-;_-&quot;$&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ongenial"/>
        <scheme val="none"/>
      </font>
      <numFmt numFmtId="165" formatCode="_-&quot;$&quot;\ * #,##0_-;\-&quot;$&quot;\ * #,##0_-;_-&quot;$&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ongeni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6.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7.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8.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9.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0.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1.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2.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3.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4.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5.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6.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7.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8.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3.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Ventas totales por trimestres</a:t>
            </a:r>
          </a:p>
        </c:rich>
      </c:tx>
      <c:layout>
        <c:manualLayout>
          <c:xMode val="edge"/>
          <c:yMode val="edge"/>
          <c:x val="0.39391197628074265"/>
          <c:y val="1.98265153884461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Hoja1!$B$8</c:f>
              <c:strCache>
                <c:ptCount val="1"/>
                <c:pt idx="0">
                  <c:v>Miguel García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Hoja1!$C$7:$F$7</c:f>
              <c:strCache>
                <c:ptCount val="4"/>
                <c:pt idx="0">
                  <c:v>Trimestre 1</c:v>
                </c:pt>
                <c:pt idx="1">
                  <c:v>Trimestre 2</c:v>
                </c:pt>
                <c:pt idx="2">
                  <c:v>Trimestre 3</c:v>
                </c:pt>
                <c:pt idx="3">
                  <c:v>Trimestre 4</c:v>
                </c:pt>
              </c:strCache>
            </c:strRef>
          </c:cat>
          <c:val>
            <c:numRef>
              <c:f>Hoja1!$C$8:$F$8</c:f>
              <c:numCache>
                <c:formatCode>_-"$"\ * #,##0_-;\-"$"\ * #,##0_-;_-"$"\ * "-"??_-;_-@_-</c:formatCode>
                <c:ptCount val="4"/>
                <c:pt idx="0">
                  <c:v>1500000</c:v>
                </c:pt>
                <c:pt idx="1">
                  <c:v>2000000</c:v>
                </c:pt>
                <c:pt idx="2">
                  <c:v>1850000</c:v>
                </c:pt>
                <c:pt idx="3">
                  <c:v>2100000</c:v>
                </c:pt>
              </c:numCache>
            </c:numRef>
          </c:val>
          <c:extLst>
            <c:ext xmlns:c16="http://schemas.microsoft.com/office/drawing/2014/chart" uri="{C3380CC4-5D6E-409C-BE32-E72D297353CC}">
              <c16:uniqueId val="{00000000-2797-4163-BD50-21E7D1CADD1D}"/>
            </c:ext>
          </c:extLst>
        </c:ser>
        <c:ser>
          <c:idx val="1"/>
          <c:order val="1"/>
          <c:tx>
            <c:strRef>
              <c:f>Hoja1!$B$9</c:f>
              <c:strCache>
                <c:ptCount val="1"/>
                <c:pt idx="0">
                  <c:v>Raúl Arzac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Hoja1!$C$7:$F$7</c:f>
              <c:strCache>
                <c:ptCount val="4"/>
                <c:pt idx="0">
                  <c:v>Trimestre 1</c:v>
                </c:pt>
                <c:pt idx="1">
                  <c:v>Trimestre 2</c:v>
                </c:pt>
                <c:pt idx="2">
                  <c:v>Trimestre 3</c:v>
                </c:pt>
                <c:pt idx="3">
                  <c:v>Trimestre 4</c:v>
                </c:pt>
              </c:strCache>
            </c:strRef>
          </c:cat>
          <c:val>
            <c:numRef>
              <c:f>Hoja1!$C$9:$F$9</c:f>
              <c:numCache>
                <c:formatCode>_-"$"\ * #,##0_-;\-"$"\ * #,##0_-;_-"$"\ * "-"??_-;_-@_-</c:formatCode>
                <c:ptCount val="4"/>
                <c:pt idx="0">
                  <c:v>1200000</c:v>
                </c:pt>
                <c:pt idx="1">
                  <c:v>1340000</c:v>
                </c:pt>
                <c:pt idx="2">
                  <c:v>1750000</c:v>
                </c:pt>
                <c:pt idx="3">
                  <c:v>1800000</c:v>
                </c:pt>
              </c:numCache>
            </c:numRef>
          </c:val>
          <c:extLst>
            <c:ext xmlns:c16="http://schemas.microsoft.com/office/drawing/2014/chart" uri="{C3380CC4-5D6E-409C-BE32-E72D297353CC}">
              <c16:uniqueId val="{00000001-2797-4163-BD50-21E7D1CADD1D}"/>
            </c:ext>
          </c:extLst>
        </c:ser>
        <c:ser>
          <c:idx val="2"/>
          <c:order val="2"/>
          <c:tx>
            <c:strRef>
              <c:f>Hoja1!$B$10</c:f>
              <c:strCache>
                <c:ptCount val="1"/>
                <c:pt idx="0">
                  <c:v>Elena Casas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Hoja1!$C$7:$F$7</c:f>
              <c:strCache>
                <c:ptCount val="4"/>
                <c:pt idx="0">
                  <c:v>Trimestre 1</c:v>
                </c:pt>
                <c:pt idx="1">
                  <c:v>Trimestre 2</c:v>
                </c:pt>
                <c:pt idx="2">
                  <c:v>Trimestre 3</c:v>
                </c:pt>
                <c:pt idx="3">
                  <c:v>Trimestre 4</c:v>
                </c:pt>
              </c:strCache>
            </c:strRef>
          </c:cat>
          <c:val>
            <c:numRef>
              <c:f>Hoja1!$C$10:$F$10</c:f>
              <c:numCache>
                <c:formatCode>_-"$"\ * #,##0_-;\-"$"\ * #,##0_-;_-"$"\ * "-"??_-;_-@_-</c:formatCode>
                <c:ptCount val="4"/>
                <c:pt idx="0">
                  <c:v>1460000</c:v>
                </c:pt>
                <c:pt idx="1">
                  <c:v>1700000</c:v>
                </c:pt>
                <c:pt idx="2">
                  <c:v>1900000</c:v>
                </c:pt>
                <c:pt idx="3">
                  <c:v>2000000</c:v>
                </c:pt>
              </c:numCache>
            </c:numRef>
          </c:val>
          <c:extLst>
            <c:ext xmlns:c16="http://schemas.microsoft.com/office/drawing/2014/chart" uri="{C3380CC4-5D6E-409C-BE32-E72D297353CC}">
              <c16:uniqueId val="{00000002-2797-4163-BD50-21E7D1CADD1D}"/>
            </c:ext>
          </c:extLst>
        </c:ser>
        <c:ser>
          <c:idx val="3"/>
          <c:order val="3"/>
          <c:tx>
            <c:strRef>
              <c:f>Hoja1!$B$11</c:f>
              <c:strCache>
                <c:ptCount val="1"/>
                <c:pt idx="0">
                  <c:v>Javier Martín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Hoja1!$C$7:$F$7</c:f>
              <c:strCache>
                <c:ptCount val="4"/>
                <c:pt idx="0">
                  <c:v>Trimestre 1</c:v>
                </c:pt>
                <c:pt idx="1">
                  <c:v>Trimestre 2</c:v>
                </c:pt>
                <c:pt idx="2">
                  <c:v>Trimestre 3</c:v>
                </c:pt>
                <c:pt idx="3">
                  <c:v>Trimestre 4</c:v>
                </c:pt>
              </c:strCache>
            </c:strRef>
          </c:cat>
          <c:val>
            <c:numRef>
              <c:f>Hoja1!$C$11:$F$11</c:f>
              <c:numCache>
                <c:formatCode>_-"$"\ * #,##0_-;\-"$"\ * #,##0_-;_-"$"\ * "-"??_-;_-@_-</c:formatCode>
                <c:ptCount val="4"/>
                <c:pt idx="0">
                  <c:v>1100000</c:v>
                </c:pt>
                <c:pt idx="1">
                  <c:v>1600000</c:v>
                </c:pt>
                <c:pt idx="2">
                  <c:v>1640000</c:v>
                </c:pt>
                <c:pt idx="3">
                  <c:v>1700000</c:v>
                </c:pt>
              </c:numCache>
            </c:numRef>
          </c:val>
          <c:extLst>
            <c:ext xmlns:c16="http://schemas.microsoft.com/office/drawing/2014/chart" uri="{C3380CC4-5D6E-409C-BE32-E72D297353CC}">
              <c16:uniqueId val="{00000003-2797-4163-BD50-21E7D1CADD1D}"/>
            </c:ext>
          </c:extLst>
        </c:ser>
        <c:ser>
          <c:idx val="4"/>
          <c:order val="4"/>
          <c:tx>
            <c:strRef>
              <c:f>Hoja1!$B$12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Hoja1!$C$7:$F$7</c:f>
              <c:strCache>
                <c:ptCount val="4"/>
                <c:pt idx="0">
                  <c:v>Trimestre 1</c:v>
                </c:pt>
                <c:pt idx="1">
                  <c:v>Trimestre 2</c:v>
                </c:pt>
                <c:pt idx="2">
                  <c:v>Trimestre 3</c:v>
                </c:pt>
                <c:pt idx="3">
                  <c:v>Trimestre 4</c:v>
                </c:pt>
              </c:strCache>
            </c:strRef>
          </c:cat>
          <c:val>
            <c:numRef>
              <c:f>Hoja1!$C$12:$F$12</c:f>
              <c:numCache>
                <c:formatCode>_-"$"\ * #,##0_-;\-"$"\ * #,##0_-;_-"$"\ * "-"??_-;_-@_-</c:formatCode>
                <c:ptCount val="4"/>
                <c:pt idx="0">
                  <c:v>5260000</c:v>
                </c:pt>
                <c:pt idx="1">
                  <c:v>6640000</c:v>
                </c:pt>
                <c:pt idx="2">
                  <c:v>7140000</c:v>
                </c:pt>
                <c:pt idx="3">
                  <c:v>7600000</c:v>
                </c:pt>
              </c:numCache>
            </c:numRef>
          </c:val>
          <c:extLst>
            <c:ext xmlns:c16="http://schemas.microsoft.com/office/drawing/2014/chart" uri="{C3380CC4-5D6E-409C-BE32-E72D297353CC}">
              <c16:uniqueId val="{00000004-2797-4163-BD50-21E7D1CADD1D}"/>
            </c:ext>
          </c:extLst>
        </c:ser>
        <c:dLbls>
          <c:showLegendKey val="0"/>
          <c:showVal val="1"/>
          <c:showCatName val="0"/>
          <c:showSerName val="0"/>
          <c:showPercent val="0"/>
          <c:showBubbleSize val="0"/>
        </c:dLbls>
        <c:gapWidth val="150"/>
        <c:shape val="box"/>
        <c:axId val="1247827039"/>
        <c:axId val="1247832799"/>
        <c:axId val="0"/>
      </c:bar3DChart>
      <c:catAx>
        <c:axId val="1247827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832799"/>
        <c:crosses val="autoZero"/>
        <c:auto val="1"/>
        <c:lblAlgn val="ctr"/>
        <c:lblOffset val="100"/>
        <c:noMultiLvlLbl val="0"/>
      </c:catAx>
      <c:valAx>
        <c:axId val="1247832799"/>
        <c:scaling>
          <c:orientation val="minMax"/>
        </c:scaling>
        <c:delete val="0"/>
        <c:axPos val="l"/>
        <c:majorGridlines>
          <c:spPr>
            <a:ln w="9525" cap="flat" cmpd="sng" algn="ctr">
              <a:solidFill>
                <a:schemeClr val="dk1">
                  <a:lumMod val="50000"/>
                  <a:lumOff val="50000"/>
                </a:schemeClr>
              </a:solidFill>
              <a:round/>
            </a:ln>
            <a:effectLst/>
          </c:spPr>
        </c:majorGridlines>
        <c:numFmt formatCode="_-&quot;$&quot;\ * #,##0_-;\-&quot;$&quot;\ * #,##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827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a:t>Ventas totales por vendedor</a:t>
            </a:r>
          </a:p>
        </c:rich>
      </c:tx>
      <c:layout>
        <c:manualLayout>
          <c:xMode val="edge"/>
          <c:yMode val="edge"/>
          <c:x val="0.36560269360269354"/>
          <c:y val="2.962961426804613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lineChart>
        <c:grouping val="stacked"/>
        <c:varyColors val="0"/>
        <c:ser>
          <c:idx val="0"/>
          <c:order val="0"/>
          <c:tx>
            <c:strRef>
              <c:f>Hoja1!$B$8</c:f>
              <c:strCache>
                <c:ptCount val="1"/>
                <c:pt idx="0">
                  <c:v>Miguel García</c:v>
                </c:pt>
              </c:strCache>
            </c:strRef>
          </c:tx>
          <c:spPr>
            <a:ln w="22225" cap="rnd">
              <a:solidFill>
                <a:schemeClr val="accent1"/>
              </a:solidFill>
            </a:ln>
            <a:effectLst>
              <a:glow rad="139700">
                <a:schemeClr val="accent1">
                  <a:satMod val="175000"/>
                  <a:alpha val="14000"/>
                </a:schemeClr>
              </a:glow>
            </a:effectLst>
          </c:spPr>
          <c:marker>
            <c:symbol val="none"/>
          </c:marker>
          <c:val>
            <c:numRef>
              <c:f>Hoja1!$C$8:$G$8</c:f>
              <c:numCache>
                <c:formatCode>_-"$"\ * #,##0_-;\-"$"\ * #,##0_-;_-"$"\ * "-"??_-;_-@_-</c:formatCode>
                <c:ptCount val="5"/>
                <c:pt idx="0">
                  <c:v>1500000</c:v>
                </c:pt>
                <c:pt idx="1">
                  <c:v>2000000</c:v>
                </c:pt>
                <c:pt idx="2">
                  <c:v>1850000</c:v>
                </c:pt>
                <c:pt idx="3">
                  <c:v>2100000</c:v>
                </c:pt>
                <c:pt idx="4">
                  <c:v>7450000</c:v>
                </c:pt>
              </c:numCache>
            </c:numRef>
          </c:val>
          <c:smooth val="0"/>
          <c:extLst>
            <c:ext xmlns:c16="http://schemas.microsoft.com/office/drawing/2014/chart" uri="{C3380CC4-5D6E-409C-BE32-E72D297353CC}">
              <c16:uniqueId val="{00000000-9CFC-4092-A946-28DFCE84E7CC}"/>
            </c:ext>
          </c:extLst>
        </c:ser>
        <c:ser>
          <c:idx val="1"/>
          <c:order val="1"/>
          <c:tx>
            <c:strRef>
              <c:f>Hoja1!$B$9</c:f>
              <c:strCache>
                <c:ptCount val="1"/>
                <c:pt idx="0">
                  <c:v>Raúl Arzac</c:v>
                </c:pt>
              </c:strCache>
            </c:strRef>
          </c:tx>
          <c:spPr>
            <a:ln w="22225" cap="rnd">
              <a:solidFill>
                <a:schemeClr val="accent2"/>
              </a:solidFill>
            </a:ln>
            <a:effectLst>
              <a:glow rad="139700">
                <a:schemeClr val="accent2">
                  <a:satMod val="175000"/>
                  <a:alpha val="14000"/>
                </a:schemeClr>
              </a:glow>
            </a:effectLst>
          </c:spPr>
          <c:marker>
            <c:symbol val="none"/>
          </c:marker>
          <c:val>
            <c:numRef>
              <c:f>Hoja1!$C$9:$G$9</c:f>
              <c:numCache>
                <c:formatCode>_-"$"\ * #,##0_-;\-"$"\ * #,##0_-;_-"$"\ * "-"??_-;_-@_-</c:formatCode>
                <c:ptCount val="5"/>
                <c:pt idx="0">
                  <c:v>1200000</c:v>
                </c:pt>
                <c:pt idx="1">
                  <c:v>1340000</c:v>
                </c:pt>
                <c:pt idx="2">
                  <c:v>1750000</c:v>
                </c:pt>
                <c:pt idx="3">
                  <c:v>1800000</c:v>
                </c:pt>
                <c:pt idx="4">
                  <c:v>6090000</c:v>
                </c:pt>
              </c:numCache>
            </c:numRef>
          </c:val>
          <c:smooth val="0"/>
          <c:extLst>
            <c:ext xmlns:c16="http://schemas.microsoft.com/office/drawing/2014/chart" uri="{C3380CC4-5D6E-409C-BE32-E72D297353CC}">
              <c16:uniqueId val="{00000001-9CFC-4092-A946-28DFCE84E7CC}"/>
            </c:ext>
          </c:extLst>
        </c:ser>
        <c:ser>
          <c:idx val="2"/>
          <c:order val="2"/>
          <c:tx>
            <c:strRef>
              <c:f>Hoja1!$B$10</c:f>
              <c:strCache>
                <c:ptCount val="1"/>
                <c:pt idx="0">
                  <c:v>Elena Casas</c:v>
                </c:pt>
              </c:strCache>
            </c:strRef>
          </c:tx>
          <c:spPr>
            <a:ln w="22225" cap="rnd">
              <a:solidFill>
                <a:schemeClr val="accent3"/>
              </a:solidFill>
            </a:ln>
            <a:effectLst>
              <a:glow rad="139700">
                <a:schemeClr val="accent3">
                  <a:satMod val="175000"/>
                  <a:alpha val="14000"/>
                </a:schemeClr>
              </a:glow>
            </a:effectLst>
          </c:spPr>
          <c:marker>
            <c:symbol val="none"/>
          </c:marker>
          <c:val>
            <c:numRef>
              <c:f>Hoja1!$C$10:$G$10</c:f>
              <c:numCache>
                <c:formatCode>_-"$"\ * #,##0_-;\-"$"\ * #,##0_-;_-"$"\ * "-"??_-;_-@_-</c:formatCode>
                <c:ptCount val="5"/>
                <c:pt idx="0">
                  <c:v>1460000</c:v>
                </c:pt>
                <c:pt idx="1">
                  <c:v>1700000</c:v>
                </c:pt>
                <c:pt idx="2">
                  <c:v>1900000</c:v>
                </c:pt>
                <c:pt idx="3">
                  <c:v>2000000</c:v>
                </c:pt>
                <c:pt idx="4">
                  <c:v>7060000</c:v>
                </c:pt>
              </c:numCache>
            </c:numRef>
          </c:val>
          <c:smooth val="0"/>
          <c:extLst>
            <c:ext xmlns:c16="http://schemas.microsoft.com/office/drawing/2014/chart" uri="{C3380CC4-5D6E-409C-BE32-E72D297353CC}">
              <c16:uniqueId val="{00000002-9CFC-4092-A946-28DFCE84E7CC}"/>
            </c:ext>
          </c:extLst>
        </c:ser>
        <c:ser>
          <c:idx val="3"/>
          <c:order val="3"/>
          <c:tx>
            <c:strRef>
              <c:f>Hoja1!$B$11</c:f>
              <c:strCache>
                <c:ptCount val="1"/>
                <c:pt idx="0">
                  <c:v>Javier Martín</c:v>
                </c:pt>
              </c:strCache>
            </c:strRef>
          </c:tx>
          <c:spPr>
            <a:ln w="22225" cap="rnd">
              <a:solidFill>
                <a:schemeClr val="accent4"/>
              </a:solidFill>
            </a:ln>
            <a:effectLst>
              <a:glow rad="139700">
                <a:schemeClr val="accent4">
                  <a:satMod val="175000"/>
                  <a:alpha val="14000"/>
                </a:schemeClr>
              </a:glow>
            </a:effectLst>
          </c:spPr>
          <c:marker>
            <c:symbol val="none"/>
          </c:marker>
          <c:val>
            <c:numRef>
              <c:f>Hoja1!$C$11:$G$11</c:f>
              <c:numCache>
                <c:formatCode>_-"$"\ * #,##0_-;\-"$"\ * #,##0_-;_-"$"\ * "-"??_-;_-@_-</c:formatCode>
                <c:ptCount val="5"/>
                <c:pt idx="0">
                  <c:v>1100000</c:v>
                </c:pt>
                <c:pt idx="1">
                  <c:v>1600000</c:v>
                </c:pt>
                <c:pt idx="2">
                  <c:v>1640000</c:v>
                </c:pt>
                <c:pt idx="3">
                  <c:v>1700000</c:v>
                </c:pt>
                <c:pt idx="4">
                  <c:v>6040000</c:v>
                </c:pt>
              </c:numCache>
            </c:numRef>
          </c:val>
          <c:smooth val="0"/>
          <c:extLst>
            <c:ext xmlns:c16="http://schemas.microsoft.com/office/drawing/2014/chart" uri="{C3380CC4-5D6E-409C-BE32-E72D297353CC}">
              <c16:uniqueId val="{00000003-9CFC-4092-A946-28DFCE84E7CC}"/>
            </c:ext>
          </c:extLst>
        </c:ser>
        <c:dLbls>
          <c:showLegendKey val="0"/>
          <c:showVal val="0"/>
          <c:showCatName val="0"/>
          <c:showSerName val="0"/>
          <c:showPercent val="0"/>
          <c:showBubbleSize val="0"/>
        </c:dLbls>
        <c:smooth val="0"/>
        <c:axId val="1247894719"/>
        <c:axId val="1247898079"/>
      </c:lineChart>
      <c:catAx>
        <c:axId val="12478947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47898079"/>
        <c:crosses val="autoZero"/>
        <c:auto val="1"/>
        <c:lblAlgn val="ctr"/>
        <c:lblOffset val="100"/>
        <c:noMultiLvlLbl val="0"/>
      </c:catAx>
      <c:valAx>
        <c:axId val="12478980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 #,##0_-;\-&quot;$&quot;\ * #,##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47894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Promedio de ventas por trimestre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Hoja1!$B$13</c:f>
              <c:strCache>
                <c:ptCount val="1"/>
                <c:pt idx="0">
                  <c:v>Promedio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Hoja1!$C$13:$F$13</c:f>
              <c:numCache>
                <c:formatCode>_-"$"\ * #,##0_-;\-"$"\ * #,##0_-;_-"$"\ * "-"??_-;_-@_-</c:formatCode>
                <c:ptCount val="4"/>
                <c:pt idx="0">
                  <c:v>2104000</c:v>
                </c:pt>
                <c:pt idx="1">
                  <c:v>2656000</c:v>
                </c:pt>
                <c:pt idx="2">
                  <c:v>2856000</c:v>
                </c:pt>
                <c:pt idx="3">
                  <c:v>3040000</c:v>
                </c:pt>
              </c:numCache>
            </c:numRef>
          </c:val>
          <c:extLst>
            <c:ext xmlns:c16="http://schemas.microsoft.com/office/drawing/2014/chart" uri="{C3380CC4-5D6E-409C-BE32-E72D297353CC}">
              <c16:uniqueId val="{00000000-51FD-4E17-8647-D390C06B9AED}"/>
            </c:ext>
          </c:extLst>
        </c:ser>
        <c:dLbls>
          <c:showLegendKey val="0"/>
          <c:showVal val="1"/>
          <c:showCatName val="0"/>
          <c:showSerName val="0"/>
          <c:showPercent val="0"/>
          <c:showBubbleSize val="0"/>
        </c:dLbls>
        <c:gapWidth val="150"/>
        <c:shape val="box"/>
        <c:axId val="1115348047"/>
        <c:axId val="1115349007"/>
        <c:axId val="1918438079"/>
      </c:bar3DChart>
      <c:catAx>
        <c:axId val="111534804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115349007"/>
        <c:crosses val="autoZero"/>
        <c:auto val="1"/>
        <c:lblAlgn val="ctr"/>
        <c:lblOffset val="100"/>
        <c:noMultiLvlLbl val="0"/>
      </c:catAx>
      <c:valAx>
        <c:axId val="1115349007"/>
        <c:scaling>
          <c:orientation val="minMax"/>
        </c:scaling>
        <c:delete val="0"/>
        <c:axPos val="l"/>
        <c:majorGridlines>
          <c:spPr>
            <a:ln w="9525" cap="flat" cmpd="sng" algn="ctr">
              <a:solidFill>
                <a:schemeClr val="dk1">
                  <a:lumMod val="50000"/>
                  <a:lumOff val="50000"/>
                </a:schemeClr>
              </a:solidFill>
              <a:round/>
            </a:ln>
            <a:effectLst/>
          </c:spPr>
        </c:majorGridlines>
        <c:numFmt formatCode="_-&quot;$&quot;\ * #,##0_-;\-&quot;$&quot;\ * #,##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115348047"/>
        <c:crosses val="autoZero"/>
        <c:crossBetween val="between"/>
      </c:valAx>
      <c:serAx>
        <c:axId val="191843807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1153490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Media mensual de ventas por vendedor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Hoja1!$B$8</c:f>
              <c:strCache>
                <c:ptCount val="1"/>
                <c:pt idx="0">
                  <c:v>Miguel García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Hoja1!$C$8:$F$8</c:f>
              <c:numCache>
                <c:formatCode>_-"$"\ * #,##0_-;\-"$"\ * #,##0_-;_-"$"\ * "-"??_-;_-@_-</c:formatCode>
                <c:ptCount val="4"/>
                <c:pt idx="0">
                  <c:v>1500000</c:v>
                </c:pt>
                <c:pt idx="1">
                  <c:v>2000000</c:v>
                </c:pt>
                <c:pt idx="2">
                  <c:v>1850000</c:v>
                </c:pt>
                <c:pt idx="3">
                  <c:v>2100000</c:v>
                </c:pt>
              </c:numCache>
            </c:numRef>
          </c:val>
          <c:extLst>
            <c:ext xmlns:c16="http://schemas.microsoft.com/office/drawing/2014/chart" uri="{C3380CC4-5D6E-409C-BE32-E72D297353CC}">
              <c16:uniqueId val="{00000000-DF50-469C-8C18-86569661F8D6}"/>
            </c:ext>
          </c:extLst>
        </c:ser>
        <c:ser>
          <c:idx val="1"/>
          <c:order val="1"/>
          <c:tx>
            <c:strRef>
              <c:f>Hoja1!$B$9</c:f>
              <c:strCache>
                <c:ptCount val="1"/>
                <c:pt idx="0">
                  <c:v>Raúl Arzac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Hoja1!$C$9:$F$9</c:f>
              <c:numCache>
                <c:formatCode>_-"$"\ * #,##0_-;\-"$"\ * #,##0_-;_-"$"\ * "-"??_-;_-@_-</c:formatCode>
                <c:ptCount val="4"/>
                <c:pt idx="0">
                  <c:v>1200000</c:v>
                </c:pt>
                <c:pt idx="1">
                  <c:v>1340000</c:v>
                </c:pt>
                <c:pt idx="2">
                  <c:v>1750000</c:v>
                </c:pt>
                <c:pt idx="3">
                  <c:v>1800000</c:v>
                </c:pt>
              </c:numCache>
            </c:numRef>
          </c:val>
          <c:extLst>
            <c:ext xmlns:c16="http://schemas.microsoft.com/office/drawing/2014/chart" uri="{C3380CC4-5D6E-409C-BE32-E72D297353CC}">
              <c16:uniqueId val="{00000001-DF50-469C-8C18-86569661F8D6}"/>
            </c:ext>
          </c:extLst>
        </c:ser>
        <c:ser>
          <c:idx val="2"/>
          <c:order val="2"/>
          <c:tx>
            <c:strRef>
              <c:f>Hoja1!$B$10</c:f>
              <c:strCache>
                <c:ptCount val="1"/>
                <c:pt idx="0">
                  <c:v>Elena Casas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Hoja1!$C$10:$F$10</c:f>
              <c:numCache>
                <c:formatCode>_-"$"\ * #,##0_-;\-"$"\ * #,##0_-;_-"$"\ * "-"??_-;_-@_-</c:formatCode>
                <c:ptCount val="4"/>
                <c:pt idx="0">
                  <c:v>1460000</c:v>
                </c:pt>
                <c:pt idx="1">
                  <c:v>1700000</c:v>
                </c:pt>
                <c:pt idx="2">
                  <c:v>1900000</c:v>
                </c:pt>
                <c:pt idx="3">
                  <c:v>2000000</c:v>
                </c:pt>
              </c:numCache>
            </c:numRef>
          </c:val>
          <c:extLst>
            <c:ext xmlns:c16="http://schemas.microsoft.com/office/drawing/2014/chart" uri="{C3380CC4-5D6E-409C-BE32-E72D297353CC}">
              <c16:uniqueId val="{00000002-DF50-469C-8C18-86569661F8D6}"/>
            </c:ext>
          </c:extLst>
        </c:ser>
        <c:ser>
          <c:idx val="3"/>
          <c:order val="3"/>
          <c:tx>
            <c:strRef>
              <c:f>Hoja1!$B$11</c:f>
              <c:strCache>
                <c:ptCount val="1"/>
                <c:pt idx="0">
                  <c:v>Javier Martín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Hoja1!$C$11:$F$11</c:f>
              <c:numCache>
                <c:formatCode>_-"$"\ * #,##0_-;\-"$"\ * #,##0_-;_-"$"\ * "-"??_-;_-@_-</c:formatCode>
                <c:ptCount val="4"/>
                <c:pt idx="0">
                  <c:v>1100000</c:v>
                </c:pt>
                <c:pt idx="1">
                  <c:v>1600000</c:v>
                </c:pt>
                <c:pt idx="2">
                  <c:v>1640000</c:v>
                </c:pt>
                <c:pt idx="3">
                  <c:v>1700000</c:v>
                </c:pt>
              </c:numCache>
            </c:numRef>
          </c:val>
          <c:extLst>
            <c:ext xmlns:c16="http://schemas.microsoft.com/office/drawing/2014/chart" uri="{C3380CC4-5D6E-409C-BE32-E72D297353CC}">
              <c16:uniqueId val="{00000003-DF50-469C-8C18-86569661F8D6}"/>
            </c:ext>
          </c:extLst>
        </c:ser>
        <c:dLbls>
          <c:showLegendKey val="0"/>
          <c:showVal val="0"/>
          <c:showCatName val="0"/>
          <c:showSerName val="0"/>
          <c:showPercent val="0"/>
          <c:showBubbleSize val="0"/>
        </c:dLbls>
        <c:gapWidth val="150"/>
        <c:shape val="box"/>
        <c:axId val="1247858719"/>
        <c:axId val="1247863039"/>
        <c:axId val="0"/>
      </c:bar3DChart>
      <c:catAx>
        <c:axId val="1247858719"/>
        <c:scaling>
          <c:orientation val="minMax"/>
        </c:scaling>
        <c:delete val="0"/>
        <c:axPos val="l"/>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863039"/>
        <c:crosses val="autoZero"/>
        <c:auto val="1"/>
        <c:lblAlgn val="ctr"/>
        <c:lblOffset val="100"/>
        <c:noMultiLvlLbl val="0"/>
      </c:catAx>
      <c:valAx>
        <c:axId val="1247863039"/>
        <c:scaling>
          <c:orientation val="minMax"/>
        </c:scaling>
        <c:delete val="0"/>
        <c:axPos val="b"/>
        <c:majorGridlines>
          <c:spPr>
            <a:ln w="9525" cap="flat" cmpd="sng" algn="ctr">
              <a:solidFill>
                <a:schemeClr val="dk1">
                  <a:lumMod val="50000"/>
                  <a:lumOff val="50000"/>
                </a:schemeClr>
              </a:solidFill>
              <a:round/>
            </a:ln>
            <a:effectLst/>
          </c:spPr>
        </c:majorGridlines>
        <c:numFmt formatCode="_-&quot;$&quot;\ * #,##0_-;\-&quot;$&quot;\ * #,##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858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s-CO"/>
              <a:t>PRECIO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CO"/>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F06-4148-925B-65FE9DD325E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F06-4148-925B-65FE9DD325E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F06-4148-925B-65FE9DD325E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F06-4148-925B-65FE9DD325E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F06-4148-925B-65FE9DD325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Hoja2!$C$9:$C$13</c:f>
              <c:strCache>
                <c:ptCount val="5"/>
                <c:pt idx="0">
                  <c:v>Impresora</c:v>
                </c:pt>
                <c:pt idx="1">
                  <c:v>CPU Pentium II</c:v>
                </c:pt>
                <c:pt idx="2">
                  <c:v>Monitor color</c:v>
                </c:pt>
                <c:pt idx="3">
                  <c:v>Ratón</c:v>
                </c:pt>
                <c:pt idx="4">
                  <c:v>Teclado</c:v>
                </c:pt>
              </c:strCache>
            </c:strRef>
          </c:cat>
          <c:val>
            <c:numRef>
              <c:f>Hoja2!$D$9:$D$13</c:f>
              <c:numCache>
                <c:formatCode>#,##0</c:formatCode>
                <c:ptCount val="5"/>
                <c:pt idx="0">
                  <c:v>29900</c:v>
                </c:pt>
                <c:pt idx="1">
                  <c:v>110000</c:v>
                </c:pt>
                <c:pt idx="2">
                  <c:v>52000</c:v>
                </c:pt>
                <c:pt idx="3">
                  <c:v>600</c:v>
                </c:pt>
                <c:pt idx="4">
                  <c:v>1500</c:v>
                </c:pt>
              </c:numCache>
            </c:numRef>
          </c:val>
          <c:extLst>
            <c:ext xmlns:c16="http://schemas.microsoft.com/office/drawing/2014/chart" uri="{C3380CC4-5D6E-409C-BE32-E72D297353CC}">
              <c16:uniqueId val="{00000000-3D88-4CBA-8D5E-38EEFD8BBAA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O"/>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2"/>
          <c:order val="2"/>
          <c:tx>
            <c:strRef>
              <c:f>Hoja2!$F$8</c:f>
              <c:strCache>
                <c:ptCount val="1"/>
                <c:pt idx="0">
                  <c:v>BRUTO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Hoja2!$C$9:$C$13</c:f>
              <c:strCache>
                <c:ptCount val="5"/>
                <c:pt idx="0">
                  <c:v>Impresora</c:v>
                </c:pt>
                <c:pt idx="1">
                  <c:v>CPU Pentium II</c:v>
                </c:pt>
                <c:pt idx="2">
                  <c:v>Monitor color</c:v>
                </c:pt>
                <c:pt idx="3">
                  <c:v>Ratón</c:v>
                </c:pt>
                <c:pt idx="4">
                  <c:v>Teclado</c:v>
                </c:pt>
              </c:strCache>
            </c:strRef>
          </c:cat>
          <c:val>
            <c:numRef>
              <c:f>Hoja2!$F$9:$F$13</c:f>
              <c:numCache>
                <c:formatCode>General</c:formatCode>
                <c:ptCount val="5"/>
                <c:pt idx="0">
                  <c:v>59800</c:v>
                </c:pt>
                <c:pt idx="1">
                  <c:v>440000</c:v>
                </c:pt>
                <c:pt idx="2">
                  <c:v>208000</c:v>
                </c:pt>
                <c:pt idx="3">
                  <c:v>2400</c:v>
                </c:pt>
                <c:pt idx="4">
                  <c:v>6000</c:v>
                </c:pt>
              </c:numCache>
            </c:numRef>
          </c:val>
          <c:extLst>
            <c:ext xmlns:c16="http://schemas.microsoft.com/office/drawing/2014/chart" uri="{C3380CC4-5D6E-409C-BE32-E72D297353CC}">
              <c16:uniqueId val="{00000004-C2B8-4F61-9438-FF3F6B88E447}"/>
            </c:ext>
          </c:extLst>
        </c:ser>
        <c:dLbls>
          <c:showLegendKey val="0"/>
          <c:showVal val="0"/>
          <c:showCatName val="0"/>
          <c:showSerName val="0"/>
          <c:showPercent val="0"/>
          <c:showBubbleSize val="0"/>
        </c:dLbls>
        <c:gapWidth val="150"/>
        <c:shape val="box"/>
        <c:axId val="1247899999"/>
        <c:axId val="1247900479"/>
        <c:axId val="0"/>
        <c:extLst>
          <c:ext xmlns:c15="http://schemas.microsoft.com/office/drawing/2012/chart" uri="{02D57815-91ED-43cb-92C2-25804820EDAC}">
            <c15:filteredBarSeries>
              <c15:ser>
                <c:idx val="0"/>
                <c:order val="0"/>
                <c:tx>
                  <c:strRef>
                    <c:extLst>
                      <c:ext uri="{02D57815-91ED-43cb-92C2-25804820EDAC}">
                        <c15:formulaRef>
                          <c15:sqref>Hoja2!$D$8</c15:sqref>
                        </c15:formulaRef>
                      </c:ext>
                    </c:extLst>
                    <c:strCache>
                      <c:ptCount val="1"/>
                      <c:pt idx="0">
                        <c:v>PRECIO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extLst>
                      <c:ext uri="{02D57815-91ED-43cb-92C2-25804820EDAC}">
                        <c15:formulaRef>
                          <c15:sqref>Hoja2!$C$9:$C$13</c15:sqref>
                        </c15:formulaRef>
                      </c:ext>
                    </c:extLst>
                    <c:strCache>
                      <c:ptCount val="5"/>
                      <c:pt idx="0">
                        <c:v>Impresora</c:v>
                      </c:pt>
                      <c:pt idx="1">
                        <c:v>CPU Pentium II</c:v>
                      </c:pt>
                      <c:pt idx="2">
                        <c:v>Monitor color</c:v>
                      </c:pt>
                      <c:pt idx="3">
                        <c:v>Ratón</c:v>
                      </c:pt>
                      <c:pt idx="4">
                        <c:v>Teclado</c:v>
                      </c:pt>
                    </c:strCache>
                  </c:strRef>
                </c:cat>
                <c:val>
                  <c:numRef>
                    <c:extLst>
                      <c:ext uri="{02D57815-91ED-43cb-92C2-25804820EDAC}">
                        <c15:formulaRef>
                          <c15:sqref>Hoja2!$D$9:$D$13</c15:sqref>
                        </c15:formulaRef>
                      </c:ext>
                    </c:extLst>
                    <c:numCache>
                      <c:formatCode>#,##0</c:formatCode>
                      <c:ptCount val="5"/>
                      <c:pt idx="0">
                        <c:v>29900</c:v>
                      </c:pt>
                      <c:pt idx="1">
                        <c:v>110000</c:v>
                      </c:pt>
                      <c:pt idx="2">
                        <c:v>52000</c:v>
                      </c:pt>
                      <c:pt idx="3">
                        <c:v>600</c:v>
                      </c:pt>
                      <c:pt idx="4">
                        <c:v>1500</c:v>
                      </c:pt>
                    </c:numCache>
                  </c:numRef>
                </c:val>
                <c:extLst>
                  <c:ext xmlns:c16="http://schemas.microsoft.com/office/drawing/2014/chart" uri="{C3380CC4-5D6E-409C-BE32-E72D297353CC}">
                    <c16:uniqueId val="{00000000-C2B8-4F61-9438-FF3F6B88E44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Hoja2!$E$8</c15:sqref>
                        </c15:formulaRef>
                      </c:ext>
                    </c:extLst>
                    <c:strCache>
                      <c:ptCount val="1"/>
                      <c:pt idx="0">
                        <c:v>CANTIDAD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extLst xmlns:c15="http://schemas.microsoft.com/office/drawing/2012/chart">
                      <c:ext xmlns:c15="http://schemas.microsoft.com/office/drawing/2012/chart" uri="{02D57815-91ED-43cb-92C2-25804820EDAC}">
                        <c15:formulaRef>
                          <c15:sqref>Hoja2!$C$9:$C$13</c15:sqref>
                        </c15:formulaRef>
                      </c:ext>
                    </c:extLst>
                    <c:strCache>
                      <c:ptCount val="5"/>
                      <c:pt idx="0">
                        <c:v>Impresora</c:v>
                      </c:pt>
                      <c:pt idx="1">
                        <c:v>CPU Pentium II</c:v>
                      </c:pt>
                      <c:pt idx="2">
                        <c:v>Monitor color</c:v>
                      </c:pt>
                      <c:pt idx="3">
                        <c:v>Ratón</c:v>
                      </c:pt>
                      <c:pt idx="4">
                        <c:v>Teclado</c:v>
                      </c:pt>
                    </c:strCache>
                  </c:strRef>
                </c:cat>
                <c:val>
                  <c:numRef>
                    <c:extLst xmlns:c15="http://schemas.microsoft.com/office/drawing/2012/chart">
                      <c:ext xmlns:c15="http://schemas.microsoft.com/office/drawing/2012/chart" uri="{02D57815-91ED-43cb-92C2-25804820EDAC}">
                        <c15:formulaRef>
                          <c15:sqref>Hoja2!$E$9:$E$13</c15:sqref>
                        </c15:formulaRef>
                      </c:ext>
                    </c:extLst>
                    <c:numCache>
                      <c:formatCode>General</c:formatCode>
                      <c:ptCount val="5"/>
                      <c:pt idx="0">
                        <c:v>2</c:v>
                      </c:pt>
                      <c:pt idx="1">
                        <c:v>4</c:v>
                      </c:pt>
                      <c:pt idx="2">
                        <c:v>4</c:v>
                      </c:pt>
                      <c:pt idx="3">
                        <c:v>4</c:v>
                      </c:pt>
                      <c:pt idx="4">
                        <c:v>4</c:v>
                      </c:pt>
                    </c:numCache>
                  </c:numRef>
                </c:val>
                <c:extLst xmlns:c15="http://schemas.microsoft.com/office/drawing/2012/chart">
                  <c:ext xmlns:c16="http://schemas.microsoft.com/office/drawing/2014/chart" uri="{C3380CC4-5D6E-409C-BE32-E72D297353CC}">
                    <c16:uniqueId val="{00000003-C2B8-4F61-9438-FF3F6B88E447}"/>
                  </c:ext>
                </c:extLst>
              </c15:ser>
            </c15:filteredBarSeries>
          </c:ext>
        </c:extLst>
      </c:bar3DChart>
      <c:catAx>
        <c:axId val="1247899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900479"/>
        <c:crosses val="autoZero"/>
        <c:auto val="1"/>
        <c:lblAlgn val="ctr"/>
        <c:lblOffset val="100"/>
        <c:noMultiLvlLbl val="0"/>
      </c:catAx>
      <c:valAx>
        <c:axId val="124790047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899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lineChart>
        <c:grouping val="standard"/>
        <c:varyColors val="0"/>
        <c:ser>
          <c:idx val="3"/>
          <c:order val="3"/>
          <c:tx>
            <c:strRef>
              <c:f>Hoja2!$G$8</c:f>
              <c:strCache>
                <c:ptCount val="1"/>
                <c:pt idx="0">
                  <c:v>NETO</c:v>
                </c:pt>
              </c:strCache>
            </c:strRef>
          </c:tx>
          <c:spPr>
            <a:ln w="22225" cap="rnd">
              <a:solidFill>
                <a:schemeClr val="accent4"/>
              </a:solidFill>
            </a:ln>
            <a:effectLst>
              <a:glow rad="139700">
                <a:schemeClr val="accent4">
                  <a:satMod val="175000"/>
                  <a:alpha val="14000"/>
                </a:schemeClr>
              </a:glow>
            </a:effectLst>
          </c:spPr>
          <c:marker>
            <c:symbol val="none"/>
          </c:marker>
          <c:cat>
            <c:strRef>
              <c:f>Hoja2!$C$9:$C$13</c:f>
              <c:strCache>
                <c:ptCount val="5"/>
                <c:pt idx="0">
                  <c:v>Impresora</c:v>
                </c:pt>
                <c:pt idx="1">
                  <c:v>CPU Pentium II</c:v>
                </c:pt>
                <c:pt idx="2">
                  <c:v>Monitor color</c:v>
                </c:pt>
                <c:pt idx="3">
                  <c:v>Ratón</c:v>
                </c:pt>
                <c:pt idx="4">
                  <c:v>Teclado</c:v>
                </c:pt>
              </c:strCache>
            </c:strRef>
          </c:cat>
          <c:val>
            <c:numRef>
              <c:f>Hoja2!$G$9:$G$13</c:f>
              <c:numCache>
                <c:formatCode>General</c:formatCode>
                <c:ptCount val="5"/>
                <c:pt idx="0">
                  <c:v>69368</c:v>
                </c:pt>
                <c:pt idx="1">
                  <c:v>510399.99999999994</c:v>
                </c:pt>
                <c:pt idx="2">
                  <c:v>241279.99999999997</c:v>
                </c:pt>
                <c:pt idx="3">
                  <c:v>2784</c:v>
                </c:pt>
                <c:pt idx="4">
                  <c:v>6959.9999999999991</c:v>
                </c:pt>
              </c:numCache>
            </c:numRef>
          </c:val>
          <c:smooth val="0"/>
          <c:extLst>
            <c:ext xmlns:c16="http://schemas.microsoft.com/office/drawing/2014/chart" uri="{C3380CC4-5D6E-409C-BE32-E72D297353CC}">
              <c16:uniqueId val="{00000003-A00F-4023-AF36-85117A356B9D}"/>
            </c:ext>
          </c:extLst>
        </c:ser>
        <c:dLbls>
          <c:showLegendKey val="0"/>
          <c:showVal val="0"/>
          <c:showCatName val="0"/>
          <c:showSerName val="0"/>
          <c:showPercent val="0"/>
          <c:showBubbleSize val="0"/>
        </c:dLbls>
        <c:smooth val="0"/>
        <c:axId val="1247933599"/>
        <c:axId val="1247928799"/>
        <c:extLst>
          <c:ext xmlns:c15="http://schemas.microsoft.com/office/drawing/2012/chart" uri="{02D57815-91ED-43cb-92C2-25804820EDAC}">
            <c15:filteredLineSeries>
              <c15:ser>
                <c:idx val="0"/>
                <c:order val="0"/>
                <c:tx>
                  <c:strRef>
                    <c:extLst>
                      <c:ext uri="{02D57815-91ED-43cb-92C2-25804820EDAC}">
                        <c15:formulaRef>
                          <c15:sqref>Hoja2!$D$8</c15:sqref>
                        </c15:formulaRef>
                      </c:ext>
                    </c:extLst>
                    <c:strCache>
                      <c:ptCount val="1"/>
                      <c:pt idx="0">
                        <c:v>PRECIO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extLst>
                      <c:ext uri="{02D57815-91ED-43cb-92C2-25804820EDAC}">
                        <c15:formulaRef>
                          <c15:sqref>Hoja2!$C$9:$C$13</c15:sqref>
                        </c15:formulaRef>
                      </c:ext>
                    </c:extLst>
                    <c:strCache>
                      <c:ptCount val="5"/>
                      <c:pt idx="0">
                        <c:v>Impresora</c:v>
                      </c:pt>
                      <c:pt idx="1">
                        <c:v>CPU Pentium II</c:v>
                      </c:pt>
                      <c:pt idx="2">
                        <c:v>Monitor color</c:v>
                      </c:pt>
                      <c:pt idx="3">
                        <c:v>Ratón</c:v>
                      </c:pt>
                      <c:pt idx="4">
                        <c:v>Teclado</c:v>
                      </c:pt>
                    </c:strCache>
                  </c:strRef>
                </c:cat>
                <c:val>
                  <c:numRef>
                    <c:extLst>
                      <c:ext uri="{02D57815-91ED-43cb-92C2-25804820EDAC}">
                        <c15:formulaRef>
                          <c15:sqref>Hoja2!$D$9:$D$13</c15:sqref>
                        </c15:formulaRef>
                      </c:ext>
                    </c:extLst>
                    <c:numCache>
                      <c:formatCode>#,##0</c:formatCode>
                      <c:ptCount val="5"/>
                      <c:pt idx="0">
                        <c:v>29900</c:v>
                      </c:pt>
                      <c:pt idx="1">
                        <c:v>110000</c:v>
                      </c:pt>
                      <c:pt idx="2">
                        <c:v>52000</c:v>
                      </c:pt>
                      <c:pt idx="3">
                        <c:v>600</c:v>
                      </c:pt>
                      <c:pt idx="4">
                        <c:v>1500</c:v>
                      </c:pt>
                    </c:numCache>
                  </c:numRef>
                </c:val>
                <c:smooth val="0"/>
                <c:extLst>
                  <c:ext xmlns:c16="http://schemas.microsoft.com/office/drawing/2014/chart" uri="{C3380CC4-5D6E-409C-BE32-E72D297353CC}">
                    <c16:uniqueId val="{00000000-A00F-4023-AF36-85117A356B9D}"/>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Hoja2!$E$8</c15:sqref>
                        </c15:formulaRef>
                      </c:ext>
                    </c:extLst>
                    <c:strCache>
                      <c:ptCount val="1"/>
                      <c:pt idx="0">
                        <c:v>CANTIDAD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extLst xmlns:c15="http://schemas.microsoft.com/office/drawing/2012/chart">
                      <c:ext xmlns:c15="http://schemas.microsoft.com/office/drawing/2012/chart" uri="{02D57815-91ED-43cb-92C2-25804820EDAC}">
                        <c15:formulaRef>
                          <c15:sqref>Hoja2!$C$9:$C$13</c15:sqref>
                        </c15:formulaRef>
                      </c:ext>
                    </c:extLst>
                    <c:strCache>
                      <c:ptCount val="5"/>
                      <c:pt idx="0">
                        <c:v>Impresora</c:v>
                      </c:pt>
                      <c:pt idx="1">
                        <c:v>CPU Pentium II</c:v>
                      </c:pt>
                      <c:pt idx="2">
                        <c:v>Monitor color</c:v>
                      </c:pt>
                      <c:pt idx="3">
                        <c:v>Ratón</c:v>
                      </c:pt>
                      <c:pt idx="4">
                        <c:v>Teclado</c:v>
                      </c:pt>
                    </c:strCache>
                  </c:strRef>
                </c:cat>
                <c:val>
                  <c:numRef>
                    <c:extLst xmlns:c15="http://schemas.microsoft.com/office/drawing/2012/chart">
                      <c:ext xmlns:c15="http://schemas.microsoft.com/office/drawing/2012/chart" uri="{02D57815-91ED-43cb-92C2-25804820EDAC}">
                        <c15:formulaRef>
                          <c15:sqref>Hoja2!$E$9:$E$13</c15:sqref>
                        </c15:formulaRef>
                      </c:ext>
                    </c:extLst>
                    <c:numCache>
                      <c:formatCode>General</c:formatCode>
                      <c:ptCount val="5"/>
                      <c:pt idx="0">
                        <c:v>2</c:v>
                      </c:pt>
                      <c:pt idx="1">
                        <c:v>4</c:v>
                      </c:pt>
                      <c:pt idx="2">
                        <c:v>4</c:v>
                      </c:pt>
                      <c:pt idx="3">
                        <c:v>4</c:v>
                      </c:pt>
                      <c:pt idx="4">
                        <c:v>4</c:v>
                      </c:pt>
                    </c:numCache>
                  </c:numRef>
                </c:val>
                <c:smooth val="0"/>
                <c:extLst xmlns:c15="http://schemas.microsoft.com/office/drawing/2012/chart">
                  <c:ext xmlns:c16="http://schemas.microsoft.com/office/drawing/2014/chart" uri="{C3380CC4-5D6E-409C-BE32-E72D297353CC}">
                    <c16:uniqueId val="{00000001-A00F-4023-AF36-85117A356B9D}"/>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Hoja2!$F$8</c15:sqref>
                        </c15:formulaRef>
                      </c:ext>
                    </c:extLst>
                    <c:strCache>
                      <c:ptCount val="1"/>
                      <c:pt idx="0">
                        <c:v>BRUTO</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extLst xmlns:c15="http://schemas.microsoft.com/office/drawing/2012/chart">
                      <c:ext xmlns:c15="http://schemas.microsoft.com/office/drawing/2012/chart" uri="{02D57815-91ED-43cb-92C2-25804820EDAC}">
                        <c15:formulaRef>
                          <c15:sqref>Hoja2!$C$9:$C$13</c15:sqref>
                        </c15:formulaRef>
                      </c:ext>
                    </c:extLst>
                    <c:strCache>
                      <c:ptCount val="5"/>
                      <c:pt idx="0">
                        <c:v>Impresora</c:v>
                      </c:pt>
                      <c:pt idx="1">
                        <c:v>CPU Pentium II</c:v>
                      </c:pt>
                      <c:pt idx="2">
                        <c:v>Monitor color</c:v>
                      </c:pt>
                      <c:pt idx="3">
                        <c:v>Ratón</c:v>
                      </c:pt>
                      <c:pt idx="4">
                        <c:v>Teclado</c:v>
                      </c:pt>
                    </c:strCache>
                  </c:strRef>
                </c:cat>
                <c:val>
                  <c:numRef>
                    <c:extLst xmlns:c15="http://schemas.microsoft.com/office/drawing/2012/chart">
                      <c:ext xmlns:c15="http://schemas.microsoft.com/office/drawing/2012/chart" uri="{02D57815-91ED-43cb-92C2-25804820EDAC}">
                        <c15:formulaRef>
                          <c15:sqref>Hoja2!$F$9:$F$13</c15:sqref>
                        </c15:formulaRef>
                      </c:ext>
                    </c:extLst>
                    <c:numCache>
                      <c:formatCode>General</c:formatCode>
                      <c:ptCount val="5"/>
                      <c:pt idx="0">
                        <c:v>59800</c:v>
                      </c:pt>
                      <c:pt idx="1">
                        <c:v>440000</c:v>
                      </c:pt>
                      <c:pt idx="2">
                        <c:v>208000</c:v>
                      </c:pt>
                      <c:pt idx="3">
                        <c:v>2400</c:v>
                      </c:pt>
                      <c:pt idx="4">
                        <c:v>6000</c:v>
                      </c:pt>
                    </c:numCache>
                  </c:numRef>
                </c:val>
                <c:smooth val="0"/>
                <c:extLst xmlns:c15="http://schemas.microsoft.com/office/drawing/2012/chart">
                  <c:ext xmlns:c16="http://schemas.microsoft.com/office/drawing/2014/chart" uri="{C3380CC4-5D6E-409C-BE32-E72D297353CC}">
                    <c16:uniqueId val="{00000002-A00F-4023-AF36-85117A356B9D}"/>
                  </c:ext>
                </c:extLst>
              </c15:ser>
            </c15:filteredLineSeries>
          </c:ext>
        </c:extLst>
      </c:lineChart>
      <c:catAx>
        <c:axId val="12479335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47928799"/>
        <c:crosses val="autoZero"/>
        <c:auto val="1"/>
        <c:lblAlgn val="ctr"/>
        <c:lblOffset val="100"/>
        <c:noMultiLvlLbl val="0"/>
      </c:catAx>
      <c:valAx>
        <c:axId val="12479287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47933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Hoja2!$F$15:$H$15</c:f>
              <c:strCache>
                <c:ptCount val="3"/>
                <c:pt idx="0">
                  <c:v>TOT. BRUTO</c:v>
                </c:pt>
                <c:pt idx="1">
                  <c:v>TOT. NETO</c:v>
                </c:pt>
                <c:pt idx="2">
                  <c:v>TOTAL</c:v>
                </c:pt>
              </c:strCache>
            </c:strRef>
          </c:cat>
          <c:val>
            <c:numRef>
              <c:f>Hoja2!$F$16:$H$16</c:f>
              <c:numCache>
                <c:formatCode>General</c:formatCode>
                <c:ptCount val="3"/>
                <c:pt idx="0">
                  <c:v>716200</c:v>
                </c:pt>
                <c:pt idx="1">
                  <c:v>830792</c:v>
                </c:pt>
                <c:pt idx="2">
                  <c:v>1546992</c:v>
                </c:pt>
              </c:numCache>
            </c:numRef>
          </c:val>
          <c:extLst>
            <c:ext xmlns:c16="http://schemas.microsoft.com/office/drawing/2014/chart" uri="{C3380CC4-5D6E-409C-BE32-E72D297353CC}">
              <c16:uniqueId val="{00000000-3227-4992-A85F-8F00AF797F4D}"/>
            </c:ext>
          </c:extLst>
        </c:ser>
        <c:dLbls>
          <c:showLegendKey val="0"/>
          <c:showVal val="0"/>
          <c:showCatName val="0"/>
          <c:showSerName val="0"/>
          <c:showPercent val="0"/>
          <c:showBubbleSize val="0"/>
        </c:dLbls>
        <c:gapWidth val="150"/>
        <c:shape val="box"/>
        <c:axId val="1247922559"/>
        <c:axId val="1247926399"/>
        <c:axId val="0"/>
      </c:bar3DChart>
      <c:catAx>
        <c:axId val="1247922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926399"/>
        <c:crosses val="autoZero"/>
        <c:auto val="1"/>
        <c:lblAlgn val="ctr"/>
        <c:lblOffset val="100"/>
        <c:noMultiLvlLbl val="0"/>
      </c:catAx>
      <c:valAx>
        <c:axId val="12479263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92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Hoja3!$C$9</c:f>
              <c:strCache>
                <c:ptCount val="1"/>
                <c:pt idx="0">
                  <c:v>VENTAS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Hoja3!$B$10:$B$23</c:f>
              <c:strCache>
                <c:ptCount val="14"/>
                <c:pt idx="0">
                  <c:v>Martín Peña</c:v>
                </c:pt>
                <c:pt idx="1">
                  <c:v>González Suevo</c:v>
                </c:pt>
                <c:pt idx="2">
                  <c:v>Arana Higueras</c:v>
                </c:pt>
                <c:pt idx="3">
                  <c:v>Sierra Garzón</c:v>
                </c:pt>
                <c:pt idx="4">
                  <c:v>Alvarez Justo</c:v>
                </c:pt>
                <c:pt idx="5">
                  <c:v>Carnicer Heras </c:v>
                </c:pt>
                <c:pt idx="6">
                  <c:v>Lopez Vara</c:v>
                </c:pt>
                <c:pt idx="7">
                  <c:v>Hidalgo Jimena</c:v>
                </c:pt>
                <c:pt idx="8">
                  <c:v>Vargas Cayo</c:v>
                </c:pt>
                <c:pt idx="9">
                  <c:v>Hoffman Kocinski</c:v>
                </c:pt>
                <c:pt idx="10">
                  <c:v>Lisado Hoyos</c:v>
                </c:pt>
                <c:pt idx="11">
                  <c:v>Gracia Fraile</c:v>
                </c:pt>
                <c:pt idx="12">
                  <c:v>Castro Suárez</c:v>
                </c:pt>
                <c:pt idx="13">
                  <c:v>TOTALES</c:v>
                </c:pt>
              </c:strCache>
            </c:strRef>
          </c:cat>
          <c:val>
            <c:numRef>
              <c:f>Hoja3!$C$10:$C$23</c:f>
              <c:numCache>
                <c:formatCode>#,##0</c:formatCode>
                <c:ptCount val="14"/>
                <c:pt idx="0">
                  <c:v>4600000</c:v>
                </c:pt>
                <c:pt idx="1">
                  <c:v>6000000</c:v>
                </c:pt>
                <c:pt idx="2">
                  <c:v>3900000</c:v>
                </c:pt>
                <c:pt idx="3">
                  <c:v>7600000</c:v>
                </c:pt>
                <c:pt idx="4">
                  <c:v>8250000</c:v>
                </c:pt>
                <c:pt idx="5">
                  <c:v>3500000</c:v>
                </c:pt>
                <c:pt idx="6">
                  <c:v>5350000</c:v>
                </c:pt>
                <c:pt idx="7">
                  <c:v>4200000</c:v>
                </c:pt>
                <c:pt idx="8">
                  <c:v>7900000</c:v>
                </c:pt>
                <c:pt idx="9">
                  <c:v>6780000</c:v>
                </c:pt>
                <c:pt idx="10">
                  <c:v>4690000</c:v>
                </c:pt>
                <c:pt idx="11">
                  <c:v>3000000</c:v>
                </c:pt>
                <c:pt idx="12">
                  <c:v>3100000</c:v>
                </c:pt>
                <c:pt idx="13">
                  <c:v>68870000</c:v>
                </c:pt>
              </c:numCache>
            </c:numRef>
          </c:val>
          <c:extLst>
            <c:ext xmlns:c16="http://schemas.microsoft.com/office/drawing/2014/chart" uri="{C3380CC4-5D6E-409C-BE32-E72D297353CC}">
              <c16:uniqueId val="{00000000-1BAA-4DD9-BE6F-82ABE1BB819D}"/>
            </c:ext>
          </c:extLst>
        </c:ser>
        <c:ser>
          <c:idx val="1"/>
          <c:order val="1"/>
          <c:tx>
            <c:strRef>
              <c:f>Hoja3!$D$9</c:f>
              <c:strCache>
                <c:ptCount val="1"/>
                <c:pt idx="0">
                  <c:v>COMISION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Hoja3!$B$10:$B$23</c:f>
              <c:strCache>
                <c:ptCount val="14"/>
                <c:pt idx="0">
                  <c:v>Martín Peña</c:v>
                </c:pt>
                <c:pt idx="1">
                  <c:v>González Suevo</c:v>
                </c:pt>
                <c:pt idx="2">
                  <c:v>Arana Higueras</c:v>
                </c:pt>
                <c:pt idx="3">
                  <c:v>Sierra Garzón</c:v>
                </c:pt>
                <c:pt idx="4">
                  <c:v>Alvarez Justo</c:v>
                </c:pt>
                <c:pt idx="5">
                  <c:v>Carnicer Heras </c:v>
                </c:pt>
                <c:pt idx="6">
                  <c:v>Lopez Vara</c:v>
                </c:pt>
                <c:pt idx="7">
                  <c:v>Hidalgo Jimena</c:v>
                </c:pt>
                <c:pt idx="8">
                  <c:v>Vargas Cayo</c:v>
                </c:pt>
                <c:pt idx="9">
                  <c:v>Hoffman Kocinski</c:v>
                </c:pt>
                <c:pt idx="10">
                  <c:v>Lisado Hoyos</c:v>
                </c:pt>
                <c:pt idx="11">
                  <c:v>Gracia Fraile</c:v>
                </c:pt>
                <c:pt idx="12">
                  <c:v>Castro Suárez</c:v>
                </c:pt>
                <c:pt idx="13">
                  <c:v>TOTALES</c:v>
                </c:pt>
              </c:strCache>
            </c:strRef>
          </c:cat>
          <c:val>
            <c:numRef>
              <c:f>Hoja3!$D$10:$D$23</c:f>
              <c:numCache>
                <c:formatCode>General</c:formatCode>
                <c:ptCount val="14"/>
                <c:pt idx="0">
                  <c:v>92000</c:v>
                </c:pt>
                <c:pt idx="1">
                  <c:v>120000</c:v>
                </c:pt>
                <c:pt idx="2">
                  <c:v>78000</c:v>
                </c:pt>
                <c:pt idx="3">
                  <c:v>152000</c:v>
                </c:pt>
                <c:pt idx="4">
                  <c:v>165000</c:v>
                </c:pt>
                <c:pt idx="5">
                  <c:v>70000</c:v>
                </c:pt>
                <c:pt idx="6">
                  <c:v>107000</c:v>
                </c:pt>
                <c:pt idx="7">
                  <c:v>84000</c:v>
                </c:pt>
                <c:pt idx="8">
                  <c:v>158000</c:v>
                </c:pt>
                <c:pt idx="9">
                  <c:v>135600</c:v>
                </c:pt>
                <c:pt idx="10">
                  <c:v>93800</c:v>
                </c:pt>
                <c:pt idx="11">
                  <c:v>60000</c:v>
                </c:pt>
                <c:pt idx="12">
                  <c:v>62000</c:v>
                </c:pt>
                <c:pt idx="13" formatCode="#,##0">
                  <c:v>1377400</c:v>
                </c:pt>
              </c:numCache>
            </c:numRef>
          </c:val>
          <c:extLst>
            <c:ext xmlns:c16="http://schemas.microsoft.com/office/drawing/2014/chart" uri="{C3380CC4-5D6E-409C-BE32-E72D297353CC}">
              <c16:uniqueId val="{00000001-1BAA-4DD9-BE6F-82ABE1BB819D}"/>
            </c:ext>
          </c:extLst>
        </c:ser>
        <c:dLbls>
          <c:showLegendKey val="0"/>
          <c:showVal val="0"/>
          <c:showCatName val="0"/>
          <c:showSerName val="0"/>
          <c:showPercent val="0"/>
          <c:showBubbleSize val="0"/>
        </c:dLbls>
        <c:gapWidth val="150"/>
        <c:overlap val="100"/>
        <c:axId val="1247907679"/>
        <c:axId val="1247907199"/>
      </c:barChart>
      <c:catAx>
        <c:axId val="12479076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907199"/>
        <c:crosses val="autoZero"/>
        <c:auto val="1"/>
        <c:lblAlgn val="ctr"/>
        <c:lblOffset val="100"/>
        <c:noMultiLvlLbl val="0"/>
      </c:catAx>
      <c:valAx>
        <c:axId val="124790719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47907679"/>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ln>
                <a:noFill/>
              </a:ln>
              <a:solidFill>
                <a:schemeClr val="dk1"/>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247827999"/>
        <c:axId val="1247835199"/>
        <c:extLst>
          <c:ext xmlns:c15="http://schemas.microsoft.com/office/drawing/2012/chart" uri="{02D57815-91ED-43cb-92C2-25804820EDAC}">
            <c15:filteredBarSeries>
              <c15:ser>
                <c:idx val="0"/>
                <c:order val="0"/>
                <c:tx>
                  <c:strRef>
                    <c:extLst>
                      <c:ext uri="{02D57815-91ED-43cb-92C2-25804820EDAC}">
                        <c15:formulaRef>
                          <c15:sqref>Hoja3!$C$9</c15:sqref>
                        </c15:formulaRef>
                      </c:ext>
                    </c:extLst>
                    <c:strCache>
                      <c:ptCount val="1"/>
                      <c:pt idx="0">
                        <c:v>VENTAS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Hoja3!$B$10:$B$23</c15:sqref>
                        </c15:formulaRef>
                      </c:ext>
                    </c:extLst>
                    <c:strCache>
                      <c:ptCount val="14"/>
                      <c:pt idx="0">
                        <c:v>Martín Peña</c:v>
                      </c:pt>
                      <c:pt idx="1">
                        <c:v>González Suevo</c:v>
                      </c:pt>
                      <c:pt idx="2">
                        <c:v>Arana Higueras</c:v>
                      </c:pt>
                      <c:pt idx="3">
                        <c:v>Sierra Garzón</c:v>
                      </c:pt>
                      <c:pt idx="4">
                        <c:v>Alvarez Justo</c:v>
                      </c:pt>
                      <c:pt idx="5">
                        <c:v>Carnicer Heras </c:v>
                      </c:pt>
                      <c:pt idx="6">
                        <c:v>Lopez Vara</c:v>
                      </c:pt>
                      <c:pt idx="7">
                        <c:v>Hidalgo Jimena</c:v>
                      </c:pt>
                      <c:pt idx="8">
                        <c:v>Vargas Cayo</c:v>
                      </c:pt>
                      <c:pt idx="9">
                        <c:v>Hoffman Kocinski</c:v>
                      </c:pt>
                      <c:pt idx="10">
                        <c:v>Lisado Hoyos</c:v>
                      </c:pt>
                      <c:pt idx="11">
                        <c:v>Gracia Fraile</c:v>
                      </c:pt>
                      <c:pt idx="12">
                        <c:v>Castro Suárez</c:v>
                      </c:pt>
                      <c:pt idx="13">
                        <c:v>TOTALES</c:v>
                      </c:pt>
                    </c:strCache>
                  </c:strRef>
                </c:cat>
                <c:val>
                  <c:numRef>
                    <c:extLst>
                      <c:ext uri="{02D57815-91ED-43cb-92C2-25804820EDAC}">
                        <c15:formulaRef>
                          <c15:sqref>Hoja3!$C$10:$C$23</c15:sqref>
                        </c15:formulaRef>
                      </c:ext>
                    </c:extLst>
                    <c:numCache>
                      <c:formatCode>#,##0</c:formatCode>
                      <c:ptCount val="14"/>
                      <c:pt idx="0">
                        <c:v>4600000</c:v>
                      </c:pt>
                      <c:pt idx="1">
                        <c:v>6000000</c:v>
                      </c:pt>
                      <c:pt idx="2">
                        <c:v>3900000</c:v>
                      </c:pt>
                      <c:pt idx="3">
                        <c:v>7600000</c:v>
                      </c:pt>
                      <c:pt idx="4">
                        <c:v>8250000</c:v>
                      </c:pt>
                      <c:pt idx="5">
                        <c:v>3500000</c:v>
                      </c:pt>
                      <c:pt idx="6">
                        <c:v>5350000</c:v>
                      </c:pt>
                      <c:pt idx="7">
                        <c:v>4200000</c:v>
                      </c:pt>
                      <c:pt idx="8">
                        <c:v>7900000</c:v>
                      </c:pt>
                      <c:pt idx="9">
                        <c:v>6780000</c:v>
                      </c:pt>
                      <c:pt idx="10">
                        <c:v>4690000</c:v>
                      </c:pt>
                      <c:pt idx="11">
                        <c:v>3000000</c:v>
                      </c:pt>
                      <c:pt idx="12">
                        <c:v>3100000</c:v>
                      </c:pt>
                      <c:pt idx="13">
                        <c:v>68870000</c:v>
                      </c:pt>
                    </c:numCache>
                  </c:numRef>
                </c:val>
                <c:extLst>
                  <c:ext xmlns:c16="http://schemas.microsoft.com/office/drawing/2014/chart" uri="{C3380CC4-5D6E-409C-BE32-E72D297353CC}">
                    <c16:uniqueId val="{00000000-0899-4A67-AEA6-5D4928088CB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Hoja3!$D$9</c15:sqref>
                        </c15:formulaRef>
                      </c:ext>
                    </c:extLst>
                    <c:strCache>
                      <c:ptCount val="1"/>
                      <c:pt idx="0">
                        <c:v>COMISION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Hoja3!$B$10:$B$23</c15:sqref>
                        </c15:formulaRef>
                      </c:ext>
                    </c:extLst>
                    <c:strCache>
                      <c:ptCount val="14"/>
                      <c:pt idx="0">
                        <c:v>Martín Peña</c:v>
                      </c:pt>
                      <c:pt idx="1">
                        <c:v>González Suevo</c:v>
                      </c:pt>
                      <c:pt idx="2">
                        <c:v>Arana Higueras</c:v>
                      </c:pt>
                      <c:pt idx="3">
                        <c:v>Sierra Garzón</c:v>
                      </c:pt>
                      <c:pt idx="4">
                        <c:v>Alvarez Justo</c:v>
                      </c:pt>
                      <c:pt idx="5">
                        <c:v>Carnicer Heras </c:v>
                      </c:pt>
                      <c:pt idx="6">
                        <c:v>Lopez Vara</c:v>
                      </c:pt>
                      <c:pt idx="7">
                        <c:v>Hidalgo Jimena</c:v>
                      </c:pt>
                      <c:pt idx="8">
                        <c:v>Vargas Cayo</c:v>
                      </c:pt>
                      <c:pt idx="9">
                        <c:v>Hoffman Kocinski</c:v>
                      </c:pt>
                      <c:pt idx="10">
                        <c:v>Lisado Hoyos</c:v>
                      </c:pt>
                      <c:pt idx="11">
                        <c:v>Gracia Fraile</c:v>
                      </c:pt>
                      <c:pt idx="12">
                        <c:v>Castro Suárez</c:v>
                      </c:pt>
                      <c:pt idx="13">
                        <c:v>TOTALES</c:v>
                      </c:pt>
                    </c:strCache>
                  </c:strRef>
                </c:cat>
                <c:val>
                  <c:numRef>
                    <c:extLst xmlns:c15="http://schemas.microsoft.com/office/drawing/2012/chart">
                      <c:ext xmlns:c15="http://schemas.microsoft.com/office/drawing/2012/chart" uri="{02D57815-91ED-43cb-92C2-25804820EDAC}">
                        <c15:formulaRef>
                          <c15:sqref>Hoja3!$D$10:$D$23</c15:sqref>
                        </c15:formulaRef>
                      </c:ext>
                    </c:extLst>
                    <c:numCache>
                      <c:formatCode>General</c:formatCode>
                      <c:ptCount val="14"/>
                      <c:pt idx="0">
                        <c:v>92000</c:v>
                      </c:pt>
                      <c:pt idx="1">
                        <c:v>120000</c:v>
                      </c:pt>
                      <c:pt idx="2">
                        <c:v>78000</c:v>
                      </c:pt>
                      <c:pt idx="3">
                        <c:v>152000</c:v>
                      </c:pt>
                      <c:pt idx="4">
                        <c:v>165000</c:v>
                      </c:pt>
                      <c:pt idx="5">
                        <c:v>70000</c:v>
                      </c:pt>
                      <c:pt idx="6">
                        <c:v>107000</c:v>
                      </c:pt>
                      <c:pt idx="7">
                        <c:v>84000</c:v>
                      </c:pt>
                      <c:pt idx="8">
                        <c:v>158000</c:v>
                      </c:pt>
                      <c:pt idx="9">
                        <c:v>135600</c:v>
                      </c:pt>
                      <c:pt idx="10">
                        <c:v>93800</c:v>
                      </c:pt>
                      <c:pt idx="11">
                        <c:v>60000</c:v>
                      </c:pt>
                      <c:pt idx="12">
                        <c:v>62000</c:v>
                      </c:pt>
                      <c:pt idx="13" formatCode="#,##0">
                        <c:v>1377400</c:v>
                      </c:pt>
                    </c:numCache>
                  </c:numRef>
                </c:val>
                <c:extLst xmlns:c15="http://schemas.microsoft.com/office/drawing/2012/chart">
                  <c:ext xmlns:c16="http://schemas.microsoft.com/office/drawing/2014/chart" uri="{C3380CC4-5D6E-409C-BE32-E72D297353CC}">
                    <c16:uniqueId val="{00000001-0899-4A67-AEA6-5D4928088CB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Hoja3!$E$9</c15:sqref>
                        </c15:formulaRef>
                      </c:ext>
                    </c:extLst>
                    <c:strCache>
                      <c:ptCount val="1"/>
                      <c:pt idx="0">
                        <c:v>BASE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Hoja3!$B$10:$B$23</c15:sqref>
                        </c15:formulaRef>
                      </c:ext>
                    </c:extLst>
                    <c:strCache>
                      <c:ptCount val="14"/>
                      <c:pt idx="0">
                        <c:v>Martín Peña</c:v>
                      </c:pt>
                      <c:pt idx="1">
                        <c:v>González Suevo</c:v>
                      </c:pt>
                      <c:pt idx="2">
                        <c:v>Arana Higueras</c:v>
                      </c:pt>
                      <c:pt idx="3">
                        <c:v>Sierra Garzón</c:v>
                      </c:pt>
                      <c:pt idx="4">
                        <c:v>Alvarez Justo</c:v>
                      </c:pt>
                      <c:pt idx="5">
                        <c:v>Carnicer Heras </c:v>
                      </c:pt>
                      <c:pt idx="6">
                        <c:v>Lopez Vara</c:v>
                      </c:pt>
                      <c:pt idx="7">
                        <c:v>Hidalgo Jimena</c:v>
                      </c:pt>
                      <c:pt idx="8">
                        <c:v>Vargas Cayo</c:v>
                      </c:pt>
                      <c:pt idx="9">
                        <c:v>Hoffman Kocinski</c:v>
                      </c:pt>
                      <c:pt idx="10">
                        <c:v>Lisado Hoyos</c:v>
                      </c:pt>
                      <c:pt idx="11">
                        <c:v>Gracia Fraile</c:v>
                      </c:pt>
                      <c:pt idx="12">
                        <c:v>Castro Suárez</c:v>
                      </c:pt>
                      <c:pt idx="13">
                        <c:v>TOTALES</c:v>
                      </c:pt>
                    </c:strCache>
                  </c:strRef>
                </c:cat>
                <c:val>
                  <c:numRef>
                    <c:extLst xmlns:c15="http://schemas.microsoft.com/office/drawing/2012/chart">
                      <c:ext xmlns:c15="http://schemas.microsoft.com/office/drawing/2012/chart" uri="{02D57815-91ED-43cb-92C2-25804820EDAC}">
                        <c15:formulaRef>
                          <c15:sqref>Hoja3!$E$10:$E$23</c15:sqref>
                        </c15:formulaRef>
                      </c:ext>
                    </c:extLst>
                    <c:numCache>
                      <c:formatCode>#,##0</c:formatCode>
                      <c:ptCount val="14"/>
                      <c:pt idx="0">
                        <c:v>90000</c:v>
                      </c:pt>
                      <c:pt idx="1">
                        <c:v>90000</c:v>
                      </c:pt>
                      <c:pt idx="2">
                        <c:v>90000</c:v>
                      </c:pt>
                      <c:pt idx="3">
                        <c:v>90000</c:v>
                      </c:pt>
                      <c:pt idx="4">
                        <c:v>90000</c:v>
                      </c:pt>
                      <c:pt idx="5">
                        <c:v>90000</c:v>
                      </c:pt>
                      <c:pt idx="6">
                        <c:v>90000</c:v>
                      </c:pt>
                      <c:pt idx="7">
                        <c:v>90000</c:v>
                      </c:pt>
                      <c:pt idx="8">
                        <c:v>90000</c:v>
                      </c:pt>
                      <c:pt idx="9">
                        <c:v>90000</c:v>
                      </c:pt>
                      <c:pt idx="10">
                        <c:v>90000</c:v>
                      </c:pt>
                      <c:pt idx="11">
                        <c:v>90000</c:v>
                      </c:pt>
                      <c:pt idx="12">
                        <c:v>90000</c:v>
                      </c:pt>
                      <c:pt idx="13">
                        <c:v>1170000</c:v>
                      </c:pt>
                    </c:numCache>
                  </c:numRef>
                </c:val>
                <c:extLst xmlns:c15="http://schemas.microsoft.com/office/drawing/2012/chart">
                  <c:ext xmlns:c16="http://schemas.microsoft.com/office/drawing/2014/chart" uri="{C3380CC4-5D6E-409C-BE32-E72D297353CC}">
                    <c16:uniqueId val="{00000002-0899-4A67-AEA6-5D4928088CB7}"/>
                  </c:ext>
                </c:extLst>
              </c15:ser>
            </c15:filteredBarSeries>
          </c:ext>
        </c:extLst>
      </c:barChart>
      <c:lineChart>
        <c:grouping val="standard"/>
        <c:varyColors val="0"/>
        <c:ser>
          <c:idx val="3"/>
          <c:order val="3"/>
          <c:tx>
            <c:strRef>
              <c:f>Hoja3!$F$9</c:f>
              <c:strCache>
                <c:ptCount val="1"/>
                <c:pt idx="0">
                  <c:v>TOTAL</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none"/>
          </c:marker>
          <c:cat>
            <c:strRef>
              <c:f>Hoja3!$B$10:$B$23</c:f>
              <c:strCache>
                <c:ptCount val="14"/>
                <c:pt idx="0">
                  <c:v>Martín Peña</c:v>
                </c:pt>
                <c:pt idx="1">
                  <c:v>González Suevo</c:v>
                </c:pt>
                <c:pt idx="2">
                  <c:v>Arana Higueras</c:v>
                </c:pt>
                <c:pt idx="3">
                  <c:v>Sierra Garzón</c:v>
                </c:pt>
                <c:pt idx="4">
                  <c:v>Alvarez Justo</c:v>
                </c:pt>
                <c:pt idx="5">
                  <c:v>Carnicer Heras </c:v>
                </c:pt>
                <c:pt idx="6">
                  <c:v>Lopez Vara</c:v>
                </c:pt>
                <c:pt idx="7">
                  <c:v>Hidalgo Jimena</c:v>
                </c:pt>
                <c:pt idx="8">
                  <c:v>Vargas Cayo</c:v>
                </c:pt>
                <c:pt idx="9">
                  <c:v>Hoffman Kocinski</c:v>
                </c:pt>
                <c:pt idx="10">
                  <c:v>Lisado Hoyos</c:v>
                </c:pt>
                <c:pt idx="11">
                  <c:v>Gracia Fraile</c:v>
                </c:pt>
                <c:pt idx="12">
                  <c:v>Castro Suárez</c:v>
                </c:pt>
                <c:pt idx="13">
                  <c:v>TOTALES</c:v>
                </c:pt>
              </c:strCache>
            </c:strRef>
          </c:cat>
          <c:val>
            <c:numRef>
              <c:f>Hoja3!$F$10:$F$23</c:f>
              <c:numCache>
                <c:formatCode>#,##0</c:formatCode>
                <c:ptCount val="14"/>
                <c:pt idx="0">
                  <c:v>4782000</c:v>
                </c:pt>
                <c:pt idx="1">
                  <c:v>6210000</c:v>
                </c:pt>
                <c:pt idx="2">
                  <c:v>4068000</c:v>
                </c:pt>
                <c:pt idx="3">
                  <c:v>7842000</c:v>
                </c:pt>
                <c:pt idx="4">
                  <c:v>8505000</c:v>
                </c:pt>
                <c:pt idx="5">
                  <c:v>3660000</c:v>
                </c:pt>
                <c:pt idx="6">
                  <c:v>5547000</c:v>
                </c:pt>
                <c:pt idx="7">
                  <c:v>4374000</c:v>
                </c:pt>
                <c:pt idx="8">
                  <c:v>8148000</c:v>
                </c:pt>
                <c:pt idx="9">
                  <c:v>7005600</c:v>
                </c:pt>
                <c:pt idx="10">
                  <c:v>4873800</c:v>
                </c:pt>
                <c:pt idx="11">
                  <c:v>3150000</c:v>
                </c:pt>
                <c:pt idx="12">
                  <c:v>3252000</c:v>
                </c:pt>
                <c:pt idx="13">
                  <c:v>71417400</c:v>
                </c:pt>
              </c:numCache>
            </c:numRef>
          </c:val>
          <c:smooth val="0"/>
          <c:extLst>
            <c:ext xmlns:c16="http://schemas.microsoft.com/office/drawing/2014/chart" uri="{C3380CC4-5D6E-409C-BE32-E72D297353CC}">
              <c16:uniqueId val="{00000003-0899-4A67-AEA6-5D4928088CB7}"/>
            </c:ext>
          </c:extLst>
        </c:ser>
        <c:dLbls>
          <c:showLegendKey val="0"/>
          <c:showVal val="0"/>
          <c:showCatName val="0"/>
          <c:showSerName val="0"/>
          <c:showPercent val="0"/>
          <c:showBubbleSize val="0"/>
        </c:dLbls>
        <c:marker val="1"/>
        <c:smooth val="0"/>
        <c:axId val="1247827999"/>
        <c:axId val="1247835199"/>
      </c:lineChart>
      <c:catAx>
        <c:axId val="1247827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s-CO"/>
          </a:p>
        </c:txPr>
        <c:crossAx val="1247835199"/>
        <c:crosses val="autoZero"/>
        <c:auto val="1"/>
        <c:lblAlgn val="ctr"/>
        <c:lblOffset val="100"/>
        <c:noMultiLvlLbl val="0"/>
      </c:catAx>
      <c:valAx>
        <c:axId val="12478351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s-CO"/>
          </a:p>
        </c:txPr>
        <c:crossAx val="1247827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s-CO"/>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a:outerShdw blurRad="50800" dist="50800" dir="5400000" algn="ctr" rotWithShape="0">
        <a:srgbClr val="000000"/>
      </a:outerShdw>
    </a:effectLst>
  </c:spPr>
  <c:txPr>
    <a:bodyPr/>
    <a:lstStyle/>
    <a:p>
      <a:pPr>
        <a:defRPr>
          <a:ln>
            <a:noFill/>
          </a:ln>
          <a:solidFill>
            <a:schemeClr val="dk1"/>
          </a:solidFill>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Ventas del Vendedor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Hoja3!$G$9</c:f>
              <c:strCache>
                <c:ptCount val="1"/>
                <c:pt idx="0">
                  <c:v>%VENDEDOR</c:v>
                </c:pt>
              </c:strCache>
            </c:strRef>
          </c:tx>
          <c:spPr>
            <a:solidFill>
              <a:schemeClr val="accent1"/>
            </a:solidFill>
            <a:ln>
              <a:noFill/>
            </a:ln>
            <a:effectLst/>
          </c:spPr>
          <c:invertIfNegative val="0"/>
          <c:cat>
            <c:strRef>
              <c:f>Hoja3!$B$10:$B$23</c:f>
              <c:strCache>
                <c:ptCount val="14"/>
                <c:pt idx="0">
                  <c:v>Martín Peña</c:v>
                </c:pt>
                <c:pt idx="1">
                  <c:v>González Suevo</c:v>
                </c:pt>
                <c:pt idx="2">
                  <c:v>Arana Higueras</c:v>
                </c:pt>
                <c:pt idx="3">
                  <c:v>Sierra Garzón</c:v>
                </c:pt>
                <c:pt idx="4">
                  <c:v>Alvarez Justo</c:v>
                </c:pt>
                <c:pt idx="5">
                  <c:v>Carnicer Heras </c:v>
                </c:pt>
                <c:pt idx="6">
                  <c:v>Lopez Vara</c:v>
                </c:pt>
                <c:pt idx="7">
                  <c:v>Hidalgo Jimena</c:v>
                </c:pt>
                <c:pt idx="8">
                  <c:v>Vargas Cayo</c:v>
                </c:pt>
                <c:pt idx="9">
                  <c:v>Hoffman Kocinski</c:v>
                </c:pt>
                <c:pt idx="10">
                  <c:v>Lisado Hoyos</c:v>
                </c:pt>
                <c:pt idx="11">
                  <c:v>Gracia Fraile</c:v>
                </c:pt>
                <c:pt idx="12">
                  <c:v>Castro Suárez</c:v>
                </c:pt>
                <c:pt idx="13">
                  <c:v>TOTALES</c:v>
                </c:pt>
              </c:strCache>
            </c:strRef>
          </c:cat>
          <c:val>
            <c:numRef>
              <c:f>Hoja3!$G$10:$G$23</c:f>
              <c:numCache>
                <c:formatCode>#,##0</c:formatCode>
                <c:ptCount val="14"/>
                <c:pt idx="0">
                  <c:v>182000</c:v>
                </c:pt>
                <c:pt idx="1">
                  <c:v>210000</c:v>
                </c:pt>
                <c:pt idx="2">
                  <c:v>168000</c:v>
                </c:pt>
                <c:pt idx="3">
                  <c:v>242000</c:v>
                </c:pt>
                <c:pt idx="4">
                  <c:v>255000</c:v>
                </c:pt>
                <c:pt idx="5">
                  <c:v>160000</c:v>
                </c:pt>
                <c:pt idx="6">
                  <c:v>197000</c:v>
                </c:pt>
                <c:pt idx="7">
                  <c:v>174000</c:v>
                </c:pt>
                <c:pt idx="8">
                  <c:v>248000</c:v>
                </c:pt>
                <c:pt idx="9">
                  <c:v>225600</c:v>
                </c:pt>
                <c:pt idx="10">
                  <c:v>183800</c:v>
                </c:pt>
                <c:pt idx="11">
                  <c:v>150000</c:v>
                </c:pt>
                <c:pt idx="12">
                  <c:v>152000</c:v>
                </c:pt>
                <c:pt idx="13">
                  <c:v>2547400</c:v>
                </c:pt>
              </c:numCache>
            </c:numRef>
          </c:val>
          <c:extLst>
            <c:ext xmlns:c16="http://schemas.microsoft.com/office/drawing/2014/chart" uri="{C3380CC4-5D6E-409C-BE32-E72D297353CC}">
              <c16:uniqueId val="{00000000-6977-442E-882F-4D07B2229085}"/>
            </c:ext>
          </c:extLst>
        </c:ser>
        <c:dLbls>
          <c:showLegendKey val="0"/>
          <c:showVal val="0"/>
          <c:showCatName val="0"/>
          <c:showSerName val="0"/>
          <c:showPercent val="0"/>
          <c:showBubbleSize val="0"/>
        </c:dLbls>
        <c:gapWidth val="150"/>
        <c:axId val="243433991"/>
        <c:axId val="243436039"/>
      </c:barChart>
      <c:catAx>
        <c:axId val="243433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36039"/>
        <c:crosses val="autoZero"/>
        <c:auto val="1"/>
        <c:lblAlgn val="ctr"/>
        <c:lblOffset val="100"/>
        <c:noMultiLvlLbl val="0"/>
      </c:catAx>
      <c:valAx>
        <c:axId val="243436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339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Exportaciones e Importaciones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Hoja4!$B$13</c:f>
              <c:strCache>
                <c:ptCount val="1"/>
                <c:pt idx="0">
                  <c:v>Exportaciones</c:v>
                </c:pt>
              </c:strCache>
            </c:strRef>
          </c:tx>
          <c:spPr>
            <a:ln w="38100" cap="flat" cmpd="dbl" algn="ctr">
              <a:solidFill>
                <a:schemeClr val="accent1"/>
              </a:solidFill>
              <a:miter lim="800000"/>
            </a:ln>
            <a:effectLst/>
          </c:spPr>
          <c:marker>
            <c:symbol val="none"/>
          </c:marker>
          <c:cat>
            <c:strRef>
              <c:f>Hoja4!$C$12:$E$12</c:f>
              <c:strCache>
                <c:ptCount val="3"/>
                <c:pt idx="0">
                  <c:v>1998</c:v>
                </c:pt>
                <c:pt idx="1">
                  <c:v>1999</c:v>
                </c:pt>
                <c:pt idx="2">
                  <c:v>2000</c:v>
                </c:pt>
              </c:strCache>
            </c:strRef>
          </c:cat>
          <c:val>
            <c:numRef>
              <c:f>Hoja4!$C$13:$E$13</c:f>
              <c:numCache>
                <c:formatCode>General</c:formatCode>
                <c:ptCount val="3"/>
                <c:pt idx="0">
                  <c:v>24.247</c:v>
                </c:pt>
                <c:pt idx="1">
                  <c:v>27.254999999999999</c:v>
                </c:pt>
                <c:pt idx="2">
                  <c:v>36.152999999999999</c:v>
                </c:pt>
              </c:numCache>
            </c:numRef>
          </c:val>
          <c:smooth val="0"/>
          <c:extLst>
            <c:ext xmlns:c16="http://schemas.microsoft.com/office/drawing/2014/chart" uri="{C3380CC4-5D6E-409C-BE32-E72D297353CC}">
              <c16:uniqueId val="{00000007-F28E-4080-A501-ED3499D35F92}"/>
            </c:ext>
          </c:extLst>
        </c:ser>
        <c:ser>
          <c:idx val="1"/>
          <c:order val="1"/>
          <c:tx>
            <c:strRef>
              <c:f>Hoja4!$B$14</c:f>
              <c:strCache>
                <c:ptCount val="1"/>
                <c:pt idx="0">
                  <c:v>% sobre el total</c:v>
                </c:pt>
              </c:strCache>
            </c:strRef>
          </c:tx>
          <c:spPr>
            <a:ln w="38100" cap="flat" cmpd="dbl" algn="ctr">
              <a:solidFill>
                <a:schemeClr val="accent2"/>
              </a:solidFill>
              <a:miter lim="800000"/>
            </a:ln>
            <a:effectLst/>
          </c:spPr>
          <c:marker>
            <c:symbol val="none"/>
          </c:marker>
          <c:cat>
            <c:strRef>
              <c:f>Hoja4!$C$12:$E$12</c:f>
              <c:strCache>
                <c:ptCount val="3"/>
                <c:pt idx="0">
                  <c:v>1998</c:v>
                </c:pt>
                <c:pt idx="1">
                  <c:v>1999</c:v>
                </c:pt>
                <c:pt idx="2">
                  <c:v>2000</c:v>
                </c:pt>
              </c:strCache>
            </c:strRef>
          </c:cat>
          <c:val>
            <c:numRef>
              <c:f>Hoja4!$C$14:$E$14</c:f>
              <c:numCache>
                <c:formatCode>General</c:formatCode>
                <c:ptCount val="3"/>
                <c:pt idx="0">
                  <c:v>27.661856140551023</c:v>
                </c:pt>
                <c:pt idx="1">
                  <c:v>31.093491529290969</c:v>
                </c:pt>
                <c:pt idx="2">
                  <c:v>41.244652330158004</c:v>
                </c:pt>
              </c:numCache>
            </c:numRef>
          </c:val>
          <c:smooth val="0"/>
          <c:extLst>
            <c:ext xmlns:c16="http://schemas.microsoft.com/office/drawing/2014/chart" uri="{C3380CC4-5D6E-409C-BE32-E72D297353CC}">
              <c16:uniqueId val="{00000009-F28E-4080-A501-ED3499D35F92}"/>
            </c:ext>
          </c:extLst>
        </c:ser>
        <c:ser>
          <c:idx val="2"/>
          <c:order val="2"/>
          <c:tx>
            <c:strRef>
              <c:f>Hoja4!$B$15</c:f>
              <c:strCache>
                <c:ptCount val="1"/>
                <c:pt idx="0">
                  <c:v>Importaciones</c:v>
                </c:pt>
              </c:strCache>
            </c:strRef>
          </c:tx>
          <c:spPr>
            <a:ln w="38100" cap="flat" cmpd="dbl" algn="ctr">
              <a:solidFill>
                <a:schemeClr val="accent3"/>
              </a:solidFill>
              <a:miter lim="800000"/>
            </a:ln>
            <a:effectLst/>
          </c:spPr>
          <c:marker>
            <c:symbol val="none"/>
          </c:marker>
          <c:cat>
            <c:strRef>
              <c:f>Hoja4!$C$12:$E$12</c:f>
              <c:strCache>
                <c:ptCount val="3"/>
                <c:pt idx="0">
                  <c:v>1998</c:v>
                </c:pt>
                <c:pt idx="1">
                  <c:v>1999</c:v>
                </c:pt>
                <c:pt idx="2">
                  <c:v>2000</c:v>
                </c:pt>
              </c:strCache>
            </c:strRef>
          </c:cat>
          <c:val>
            <c:numRef>
              <c:f>Hoja4!$C$15:$E$15</c:f>
              <c:numCache>
                <c:formatCode>General</c:formatCode>
                <c:ptCount val="3"/>
                <c:pt idx="0">
                  <c:v>29.963000000000001</c:v>
                </c:pt>
                <c:pt idx="1">
                  <c:v>35.39</c:v>
                </c:pt>
                <c:pt idx="2">
                  <c:v>51.942999999999998</c:v>
                </c:pt>
              </c:numCache>
            </c:numRef>
          </c:val>
          <c:smooth val="0"/>
          <c:extLst>
            <c:ext xmlns:c16="http://schemas.microsoft.com/office/drawing/2014/chart" uri="{C3380CC4-5D6E-409C-BE32-E72D297353CC}">
              <c16:uniqueId val="{0000000B-F28E-4080-A501-ED3499D35F92}"/>
            </c:ext>
          </c:extLst>
        </c:ser>
        <c:ser>
          <c:idx val="3"/>
          <c:order val="3"/>
          <c:tx>
            <c:strRef>
              <c:f>Hoja4!$B$16</c:f>
              <c:strCache>
                <c:ptCount val="1"/>
                <c:pt idx="0">
                  <c:v>% sobre el total</c:v>
                </c:pt>
              </c:strCache>
            </c:strRef>
          </c:tx>
          <c:spPr>
            <a:ln w="38100" cap="flat" cmpd="dbl" algn="ctr">
              <a:solidFill>
                <a:schemeClr val="accent4"/>
              </a:solidFill>
              <a:miter lim="800000"/>
            </a:ln>
            <a:effectLst/>
          </c:spPr>
          <c:marker>
            <c:symbol val="none"/>
          </c:marker>
          <c:cat>
            <c:strRef>
              <c:f>Hoja4!$C$12:$E$12</c:f>
              <c:strCache>
                <c:ptCount val="3"/>
                <c:pt idx="0">
                  <c:v>1998</c:v>
                </c:pt>
                <c:pt idx="1">
                  <c:v>1999</c:v>
                </c:pt>
                <c:pt idx="2">
                  <c:v>2000</c:v>
                </c:pt>
              </c:strCache>
            </c:strRef>
          </c:cat>
          <c:val>
            <c:numRef>
              <c:f>Hoja4!$C$16:$E$16</c:f>
              <c:numCache>
                <c:formatCode>General</c:formatCode>
                <c:ptCount val="3"/>
                <c:pt idx="0">
                  <c:v>25.5447756104215</c:v>
                </c:pt>
                <c:pt idx="1">
                  <c:v>30.171531851043515</c:v>
                </c:pt>
                <c:pt idx="2">
                  <c:v>44.283692538534986</c:v>
                </c:pt>
              </c:numCache>
            </c:numRef>
          </c:val>
          <c:smooth val="0"/>
          <c:extLst>
            <c:ext xmlns:c16="http://schemas.microsoft.com/office/drawing/2014/chart" uri="{C3380CC4-5D6E-409C-BE32-E72D297353CC}">
              <c16:uniqueId val="{0000000D-F28E-4080-A501-ED3499D35F92}"/>
            </c:ext>
          </c:extLst>
        </c:ser>
        <c:dLbls>
          <c:showLegendKey val="0"/>
          <c:showVal val="0"/>
          <c:showCatName val="0"/>
          <c:showSerName val="0"/>
          <c:showPercent val="0"/>
          <c:showBubbleSize val="0"/>
        </c:dLbls>
        <c:smooth val="0"/>
        <c:axId val="1298775559"/>
        <c:axId val="1299710471"/>
      </c:lineChart>
      <c:catAx>
        <c:axId val="129877555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10471"/>
        <c:crosses val="autoZero"/>
        <c:auto val="1"/>
        <c:lblAlgn val="ctr"/>
        <c:lblOffset val="100"/>
        <c:noMultiLvlLbl val="0"/>
      </c:catAx>
      <c:valAx>
        <c:axId val="129971047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75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14536433598542"/>
          <c:y val="0.16595078299776289"/>
          <c:w val="0.53101786558664499"/>
          <c:h val="0.68248269301907727"/>
        </c:manualLayout>
      </c:layout>
      <c:pieChart>
        <c:varyColors val="1"/>
        <c:ser>
          <c:idx val="0"/>
          <c:order val="0"/>
          <c:tx>
            <c:strRef>
              <c:f>Hoja4!$C$12</c:f>
              <c:strCache>
                <c:ptCount val="1"/>
                <c:pt idx="0">
                  <c:v>1998</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C0E-4651-9515-B273042581A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C0E-4651-9515-B273042581A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C0E-4651-9515-B273042581A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C0E-4651-9515-B273042581A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O"/>
                </a:p>
              </c:txPr>
              <c:dLblPos val="outEnd"/>
              <c:showLegendKey val="0"/>
              <c:showVal val="0"/>
              <c:showCatName val="1"/>
              <c:showSerName val="0"/>
              <c:showPercent val="0"/>
              <c:showBubbleSize val="0"/>
              <c:extLst>
                <c:ext xmlns:c16="http://schemas.microsoft.com/office/drawing/2014/chart" uri="{C3380CC4-5D6E-409C-BE32-E72D297353CC}">
                  <c16:uniqueId val="{00000001-1C0E-4651-9515-B273042581A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s-CO"/>
                </a:p>
              </c:txPr>
              <c:dLblPos val="outEnd"/>
              <c:showLegendKey val="0"/>
              <c:showVal val="0"/>
              <c:showCatName val="1"/>
              <c:showSerName val="0"/>
              <c:showPercent val="0"/>
              <c:showBubbleSize val="0"/>
              <c:extLst>
                <c:ext xmlns:c16="http://schemas.microsoft.com/office/drawing/2014/chart" uri="{C3380CC4-5D6E-409C-BE32-E72D297353CC}">
                  <c16:uniqueId val="{00000003-1C0E-4651-9515-B273042581A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s-CO"/>
                </a:p>
              </c:txPr>
              <c:dLblPos val="outEnd"/>
              <c:showLegendKey val="0"/>
              <c:showVal val="0"/>
              <c:showCatName val="1"/>
              <c:showSerName val="0"/>
              <c:showPercent val="0"/>
              <c:showBubbleSize val="0"/>
              <c:extLst>
                <c:ext xmlns:c16="http://schemas.microsoft.com/office/drawing/2014/chart" uri="{C3380CC4-5D6E-409C-BE32-E72D297353CC}">
                  <c16:uniqueId val="{00000005-1C0E-4651-9515-B273042581A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s-CO"/>
                </a:p>
              </c:txPr>
              <c:dLblPos val="outEnd"/>
              <c:showLegendKey val="0"/>
              <c:showVal val="0"/>
              <c:showCatName val="1"/>
              <c:showSerName val="0"/>
              <c:showPercent val="0"/>
              <c:showBubbleSize val="0"/>
              <c:extLst>
                <c:ext xmlns:c16="http://schemas.microsoft.com/office/drawing/2014/chart" uri="{C3380CC4-5D6E-409C-BE32-E72D297353CC}">
                  <c16:uniqueId val="{00000007-1C0E-4651-9515-B273042581A0}"/>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Hoja4!$B$13:$B$16</c:f>
              <c:strCache>
                <c:ptCount val="4"/>
                <c:pt idx="0">
                  <c:v>Exportaciones</c:v>
                </c:pt>
                <c:pt idx="1">
                  <c:v>% sobre el total</c:v>
                </c:pt>
                <c:pt idx="2">
                  <c:v>Importaciones</c:v>
                </c:pt>
                <c:pt idx="3">
                  <c:v>% sobre el total</c:v>
                </c:pt>
              </c:strCache>
            </c:strRef>
          </c:cat>
          <c:val>
            <c:numRef>
              <c:f>Hoja4!$C$13:$C$16</c:f>
              <c:numCache>
                <c:formatCode>General</c:formatCode>
                <c:ptCount val="4"/>
                <c:pt idx="0">
                  <c:v>24.247</c:v>
                </c:pt>
                <c:pt idx="1">
                  <c:v>27.661856140551023</c:v>
                </c:pt>
                <c:pt idx="2">
                  <c:v>29.963000000000001</c:v>
                </c:pt>
                <c:pt idx="3">
                  <c:v>25.5447756104215</c:v>
                </c:pt>
              </c:numCache>
            </c:numRef>
          </c:val>
          <c:extLst>
            <c:ext xmlns:c16="http://schemas.microsoft.com/office/drawing/2014/chart" uri="{C3380CC4-5D6E-409C-BE32-E72D297353CC}">
              <c16:uniqueId val="{00000000-534D-47E2-A103-5AC7E219589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tx>
            <c:strRef>
              <c:f>Hoja4!$D$12</c:f>
              <c:strCache>
                <c:ptCount val="1"/>
                <c:pt idx="0">
                  <c:v>1999</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C32-4744-8D70-D659BFB49EE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C32-4744-8D70-D659BFB49EEB}"/>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C32-4744-8D70-D659BFB49EEB}"/>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FC32-4744-8D70-D659BFB49E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s-CO"/>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Hoja4!$B$13:$B$16</c:f>
              <c:strCache>
                <c:ptCount val="4"/>
                <c:pt idx="0">
                  <c:v>Exportaciones</c:v>
                </c:pt>
                <c:pt idx="1">
                  <c:v>% sobre el total</c:v>
                </c:pt>
                <c:pt idx="2">
                  <c:v>Importaciones</c:v>
                </c:pt>
                <c:pt idx="3">
                  <c:v>% sobre el total</c:v>
                </c:pt>
              </c:strCache>
            </c:strRef>
          </c:cat>
          <c:val>
            <c:numRef>
              <c:f>Hoja4!$D$13:$D$16</c:f>
              <c:numCache>
                <c:formatCode>General</c:formatCode>
                <c:ptCount val="4"/>
                <c:pt idx="0">
                  <c:v>27.254999999999999</c:v>
                </c:pt>
                <c:pt idx="1">
                  <c:v>31.093491529290969</c:v>
                </c:pt>
                <c:pt idx="2">
                  <c:v>35.39</c:v>
                </c:pt>
                <c:pt idx="3">
                  <c:v>30.171531851043515</c:v>
                </c:pt>
              </c:numCache>
            </c:numRef>
          </c:val>
          <c:extLst>
            <c:ext xmlns:c16="http://schemas.microsoft.com/office/drawing/2014/chart" uri="{C3380CC4-5D6E-409C-BE32-E72D297353CC}">
              <c16:uniqueId val="{00000000-6DE6-42B9-BEC8-FBE8FE9618E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Hoja4!$E$12</c:f>
              <c:strCache>
                <c:ptCount val="1"/>
                <c:pt idx="0">
                  <c:v>2000</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560-492A-B812-5B99AD69078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560-492A-B812-5B99AD69078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560-492A-B812-5B99AD69078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560-492A-B812-5B99AD69078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Hoja4!$B$13:$B$16</c:f>
              <c:strCache>
                <c:ptCount val="4"/>
                <c:pt idx="0">
                  <c:v>Exportaciones</c:v>
                </c:pt>
                <c:pt idx="1">
                  <c:v>% sobre el total</c:v>
                </c:pt>
                <c:pt idx="2">
                  <c:v>Importaciones</c:v>
                </c:pt>
                <c:pt idx="3">
                  <c:v>% sobre el total</c:v>
                </c:pt>
              </c:strCache>
            </c:strRef>
          </c:cat>
          <c:val>
            <c:numRef>
              <c:f>Hoja4!$E$13:$E$16</c:f>
              <c:numCache>
                <c:formatCode>General</c:formatCode>
                <c:ptCount val="4"/>
                <c:pt idx="0">
                  <c:v>36.152999999999999</c:v>
                </c:pt>
                <c:pt idx="1">
                  <c:v>41.244652330158004</c:v>
                </c:pt>
                <c:pt idx="2">
                  <c:v>51.942999999999998</c:v>
                </c:pt>
                <c:pt idx="3">
                  <c:v>44.283692538534986</c:v>
                </c:pt>
              </c:numCache>
            </c:numRef>
          </c:val>
          <c:extLst>
            <c:ext xmlns:c16="http://schemas.microsoft.com/office/drawing/2014/chart" uri="{C3380CC4-5D6E-409C-BE32-E72D297353CC}">
              <c16:uniqueId val="{00000000-6C0D-4E75-B308-195E33A1C7E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Hoja5!$B$9</c:f>
              <c:strCache>
                <c:ptCount val="1"/>
                <c:pt idx="0">
                  <c:v>3. VENTAS NETAS (1 - 2)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Hoja5!$C$9:$E$9</c:f>
              <c:numCache>
                <c:formatCode>General</c:formatCode>
                <c:ptCount val="3"/>
                <c:pt idx="0">
                  <c:v>44.5</c:v>
                </c:pt>
                <c:pt idx="1">
                  <c:v>47.8</c:v>
                </c:pt>
                <c:pt idx="2">
                  <c:v>92.3</c:v>
                </c:pt>
              </c:numCache>
            </c:numRef>
          </c:val>
          <c:extLst>
            <c:ext xmlns:c16="http://schemas.microsoft.com/office/drawing/2014/chart" uri="{C3380CC4-5D6E-409C-BE32-E72D297353CC}">
              <c16:uniqueId val="{00000013-5B83-45F0-B6E7-67499962A715}"/>
            </c:ext>
          </c:extLst>
        </c:ser>
        <c:ser>
          <c:idx val="1"/>
          <c:order val="1"/>
          <c:tx>
            <c:v>MARGEN BRUTO (3-4-5)</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Hoja5!$B$12:$E$12</c:f>
              <c:numCache>
                <c:formatCode>General</c:formatCode>
                <c:ptCount val="4"/>
                <c:pt idx="0">
                  <c:v>0</c:v>
                </c:pt>
                <c:pt idx="1">
                  <c:v>25</c:v>
                </c:pt>
                <c:pt idx="2">
                  <c:v>35.5</c:v>
                </c:pt>
                <c:pt idx="3">
                  <c:v>60.5</c:v>
                </c:pt>
              </c:numCache>
            </c:numRef>
          </c:val>
          <c:extLst>
            <c:ext xmlns:c16="http://schemas.microsoft.com/office/drawing/2014/chart" uri="{C3380CC4-5D6E-409C-BE32-E72D297353CC}">
              <c16:uniqueId val="{00000015-5B83-45F0-B6E7-67499962A715}"/>
            </c:ext>
          </c:extLst>
        </c:ser>
        <c:dLbls>
          <c:dLblPos val="ctr"/>
          <c:showLegendKey val="0"/>
          <c:showVal val="1"/>
          <c:showCatName val="0"/>
          <c:showSerName val="0"/>
          <c:showPercent val="0"/>
          <c:showBubbleSize val="0"/>
        </c:dLbls>
        <c:gapWidth val="79"/>
        <c:overlap val="100"/>
        <c:axId val="215567880"/>
        <c:axId val="748606984"/>
      </c:barChart>
      <c:catAx>
        <c:axId val="215567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8606984"/>
        <c:crosses val="autoZero"/>
        <c:auto val="1"/>
        <c:lblAlgn val="ctr"/>
        <c:lblOffset val="100"/>
        <c:noMultiLvlLbl val="0"/>
      </c:catAx>
      <c:valAx>
        <c:axId val="748606984"/>
        <c:scaling>
          <c:orientation val="minMax"/>
        </c:scaling>
        <c:delete val="1"/>
        <c:axPos val="l"/>
        <c:numFmt formatCode="General" sourceLinked="1"/>
        <c:majorTickMark val="none"/>
        <c:minorTickMark val="none"/>
        <c:tickLblPos val="nextTo"/>
        <c:crossAx val="2155678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Hoja5!$C$6</c:f>
              <c:strCache>
                <c:ptCount val="1"/>
                <c:pt idx="0">
                  <c:v>PROD. A</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Hoja5!$B$7:$B$8</c:f>
              <c:strCache>
                <c:ptCount val="2"/>
                <c:pt idx="0">
                  <c:v>1. Ventas</c:v>
                </c:pt>
                <c:pt idx="1">
                  <c:v>2. Devoluciones</c:v>
                </c:pt>
              </c:strCache>
            </c:strRef>
          </c:cat>
          <c:val>
            <c:numRef>
              <c:f>Hoja5!$C$7:$C$8</c:f>
              <c:numCache>
                <c:formatCode>General</c:formatCode>
                <c:ptCount val="2"/>
                <c:pt idx="0">
                  <c:v>50</c:v>
                </c:pt>
                <c:pt idx="1">
                  <c:v>5.5</c:v>
                </c:pt>
              </c:numCache>
            </c:numRef>
          </c:val>
          <c:extLst>
            <c:ext xmlns:c16="http://schemas.microsoft.com/office/drawing/2014/chart" uri="{C3380CC4-5D6E-409C-BE32-E72D297353CC}">
              <c16:uniqueId val="{00000000-CFBD-4C73-905C-D8D0686B775A}"/>
            </c:ext>
          </c:extLst>
        </c:ser>
        <c:ser>
          <c:idx val="1"/>
          <c:order val="1"/>
          <c:tx>
            <c:strRef>
              <c:f>Hoja5!$D$6</c:f>
              <c:strCache>
                <c:ptCount val="1"/>
                <c:pt idx="0">
                  <c:v>PROD. B</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Hoja5!$B$7:$B$8</c:f>
              <c:strCache>
                <c:ptCount val="2"/>
                <c:pt idx="0">
                  <c:v>1. Ventas</c:v>
                </c:pt>
                <c:pt idx="1">
                  <c:v>2. Devoluciones</c:v>
                </c:pt>
              </c:strCache>
            </c:strRef>
          </c:cat>
          <c:val>
            <c:numRef>
              <c:f>Hoja5!$D$7:$D$8</c:f>
              <c:numCache>
                <c:formatCode>General</c:formatCode>
                <c:ptCount val="2"/>
                <c:pt idx="0">
                  <c:v>55</c:v>
                </c:pt>
                <c:pt idx="1">
                  <c:v>7.2</c:v>
                </c:pt>
              </c:numCache>
            </c:numRef>
          </c:val>
          <c:extLst>
            <c:ext xmlns:c16="http://schemas.microsoft.com/office/drawing/2014/chart" uri="{C3380CC4-5D6E-409C-BE32-E72D297353CC}">
              <c16:uniqueId val="{00000002-CFBD-4C73-905C-D8D0686B775A}"/>
            </c:ext>
          </c:extLst>
        </c:ser>
        <c:ser>
          <c:idx val="2"/>
          <c:order val="2"/>
          <c:tx>
            <c:strRef>
              <c:f>Hoja5!$E$6</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Hoja5!$B$7:$B$8</c:f>
              <c:strCache>
                <c:ptCount val="2"/>
                <c:pt idx="0">
                  <c:v>1. Ventas</c:v>
                </c:pt>
                <c:pt idx="1">
                  <c:v>2. Devoluciones</c:v>
                </c:pt>
              </c:strCache>
            </c:strRef>
          </c:cat>
          <c:val>
            <c:numRef>
              <c:f>Hoja5!$E$7:$E$8</c:f>
              <c:numCache>
                <c:formatCode>General</c:formatCode>
                <c:ptCount val="2"/>
                <c:pt idx="0">
                  <c:v>105</c:v>
                </c:pt>
                <c:pt idx="1">
                  <c:v>12.7</c:v>
                </c:pt>
              </c:numCache>
            </c:numRef>
          </c:val>
          <c:extLst>
            <c:ext xmlns:c16="http://schemas.microsoft.com/office/drawing/2014/chart" uri="{C3380CC4-5D6E-409C-BE32-E72D297353CC}">
              <c16:uniqueId val="{00000004-CFBD-4C73-905C-D8D0686B775A}"/>
            </c:ext>
          </c:extLst>
        </c:ser>
        <c:dLbls>
          <c:dLblPos val="inEnd"/>
          <c:showLegendKey val="0"/>
          <c:showVal val="1"/>
          <c:showCatName val="0"/>
          <c:showSerName val="0"/>
          <c:showPercent val="0"/>
          <c:showBubbleSize val="0"/>
        </c:dLbls>
        <c:gapWidth val="65"/>
        <c:axId val="1968570887"/>
        <c:axId val="1968572935"/>
      </c:barChart>
      <c:catAx>
        <c:axId val="1968570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8572935"/>
        <c:crosses val="autoZero"/>
        <c:auto val="1"/>
        <c:lblAlgn val="ctr"/>
        <c:lblOffset val="100"/>
        <c:noMultiLvlLbl val="0"/>
      </c:catAx>
      <c:valAx>
        <c:axId val="19685729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6857088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Hoja5!$C$6</c:f>
              <c:strCache>
                <c:ptCount val="1"/>
                <c:pt idx="0">
                  <c:v>PROD. A</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Hoja5!$B$10:$B$11</c:f>
              <c:strCache>
                <c:ptCount val="2"/>
                <c:pt idx="0">
                  <c:v>4. Amortizaciones</c:v>
                </c:pt>
                <c:pt idx="1">
                  <c:v>5. Costes de producción</c:v>
                </c:pt>
              </c:strCache>
            </c:strRef>
          </c:cat>
          <c:val>
            <c:numRef>
              <c:f>Hoja5!$C$10:$C$11</c:f>
              <c:numCache>
                <c:formatCode>General</c:formatCode>
                <c:ptCount val="2"/>
                <c:pt idx="0">
                  <c:v>10.5</c:v>
                </c:pt>
                <c:pt idx="1">
                  <c:v>9</c:v>
                </c:pt>
              </c:numCache>
            </c:numRef>
          </c:val>
          <c:extLst>
            <c:ext xmlns:c16="http://schemas.microsoft.com/office/drawing/2014/chart" uri="{C3380CC4-5D6E-409C-BE32-E72D297353CC}">
              <c16:uniqueId val="{00000000-9033-41B4-AF9B-442E01C61061}"/>
            </c:ext>
          </c:extLst>
        </c:ser>
        <c:ser>
          <c:idx val="1"/>
          <c:order val="1"/>
          <c:tx>
            <c:strRef>
              <c:f>Hoja5!$D$6</c:f>
              <c:strCache>
                <c:ptCount val="1"/>
                <c:pt idx="0">
                  <c:v>PROD. B</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Hoja5!$B$10:$B$11</c:f>
              <c:strCache>
                <c:ptCount val="2"/>
                <c:pt idx="0">
                  <c:v>4. Amortizaciones</c:v>
                </c:pt>
                <c:pt idx="1">
                  <c:v>5. Costes de producción</c:v>
                </c:pt>
              </c:strCache>
            </c:strRef>
          </c:cat>
          <c:val>
            <c:numRef>
              <c:f>Hoja5!$D$10:$D$11</c:f>
              <c:numCache>
                <c:formatCode>General</c:formatCode>
                <c:ptCount val="2"/>
                <c:pt idx="0">
                  <c:v>5</c:v>
                </c:pt>
                <c:pt idx="1">
                  <c:v>7.3</c:v>
                </c:pt>
              </c:numCache>
            </c:numRef>
          </c:val>
          <c:extLst>
            <c:ext xmlns:c16="http://schemas.microsoft.com/office/drawing/2014/chart" uri="{C3380CC4-5D6E-409C-BE32-E72D297353CC}">
              <c16:uniqueId val="{00000002-9033-41B4-AF9B-442E01C61061}"/>
            </c:ext>
          </c:extLst>
        </c:ser>
        <c:ser>
          <c:idx val="2"/>
          <c:order val="2"/>
          <c:tx>
            <c:strRef>
              <c:f>Hoja5!$E$6</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Hoja5!$B$10:$B$11</c:f>
              <c:strCache>
                <c:ptCount val="2"/>
                <c:pt idx="0">
                  <c:v>4. Amortizaciones</c:v>
                </c:pt>
                <c:pt idx="1">
                  <c:v>5. Costes de producción</c:v>
                </c:pt>
              </c:strCache>
            </c:strRef>
          </c:cat>
          <c:val>
            <c:numRef>
              <c:f>Hoja5!$E$10:$E$11</c:f>
              <c:numCache>
                <c:formatCode>General</c:formatCode>
                <c:ptCount val="2"/>
                <c:pt idx="0">
                  <c:v>15.5</c:v>
                </c:pt>
                <c:pt idx="1">
                  <c:v>16.3</c:v>
                </c:pt>
              </c:numCache>
            </c:numRef>
          </c:val>
          <c:extLst>
            <c:ext xmlns:c16="http://schemas.microsoft.com/office/drawing/2014/chart" uri="{C3380CC4-5D6E-409C-BE32-E72D297353CC}">
              <c16:uniqueId val="{00000004-9033-41B4-AF9B-442E01C61061}"/>
            </c:ext>
          </c:extLst>
        </c:ser>
        <c:dLbls>
          <c:showLegendKey val="0"/>
          <c:showVal val="0"/>
          <c:showCatName val="0"/>
          <c:showSerName val="0"/>
          <c:showPercent val="0"/>
          <c:showBubbleSize val="0"/>
        </c:dLbls>
        <c:gapWidth val="164"/>
        <c:overlap val="-22"/>
        <c:axId val="1732156423"/>
        <c:axId val="1732141063"/>
      </c:barChart>
      <c:catAx>
        <c:axId val="17321564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141063"/>
        <c:crosses val="autoZero"/>
        <c:auto val="1"/>
        <c:lblAlgn val="ctr"/>
        <c:lblOffset val="100"/>
        <c:noMultiLvlLbl val="0"/>
      </c:catAx>
      <c:valAx>
        <c:axId val="1732141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156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Ventas</c:v>
          </c:tx>
          <c:spPr>
            <a:solidFill>
              <a:schemeClr val="accent1"/>
            </a:solidFill>
            <a:ln>
              <a:noFill/>
            </a:ln>
            <a:effectLst/>
          </c:spPr>
          <c:invertIfNegative val="0"/>
          <c:cat>
            <c:multiLvlStrRef>
              <c:f>(Hoja5!$B$7,Hoja5!$B$9)</c:f>
              <c:multiLvlStrCache>
                <c:ptCount val="1"/>
                <c:lvl>
                  <c:pt idx="0">
                    <c:v>3. VENTAS NETAS (1 - 2)</c:v>
                  </c:pt>
                </c:lvl>
                <c:lvl>
                  <c:pt idx="0">
                    <c:v>1. Ventas</c:v>
                  </c:pt>
                </c:lvl>
              </c:multiLvlStrCache>
            </c:multiLvlStrRef>
          </c:cat>
          <c:val>
            <c:numRef>
              <c:f>Hoja5!$C$7:$F$7</c:f>
              <c:numCache>
                <c:formatCode>General</c:formatCode>
                <c:ptCount val="4"/>
                <c:pt idx="0">
                  <c:v>50</c:v>
                </c:pt>
                <c:pt idx="1">
                  <c:v>55</c:v>
                </c:pt>
                <c:pt idx="2">
                  <c:v>105</c:v>
                </c:pt>
              </c:numCache>
            </c:numRef>
          </c:val>
          <c:extLst>
            <c:ext xmlns:c16="http://schemas.microsoft.com/office/drawing/2014/chart" uri="{C3380CC4-5D6E-409C-BE32-E72D297353CC}">
              <c16:uniqueId val="{00000009-85A5-4193-8927-EC41E394D5FB}"/>
            </c:ext>
          </c:extLst>
        </c:ser>
        <c:ser>
          <c:idx val="2"/>
          <c:order val="1"/>
          <c:tx>
            <c:v>Ventas Netas</c:v>
          </c:tx>
          <c:spPr>
            <a:solidFill>
              <a:schemeClr val="accent3"/>
            </a:solidFill>
            <a:ln>
              <a:noFill/>
            </a:ln>
            <a:effectLst/>
          </c:spPr>
          <c:invertIfNegative val="0"/>
          <c:cat>
            <c:multiLvlStrRef>
              <c:f>(Hoja5!$B$7,Hoja5!$B$9)</c:f>
              <c:multiLvlStrCache>
                <c:ptCount val="1"/>
                <c:lvl>
                  <c:pt idx="0">
                    <c:v>3. VENTAS NETAS (1 - 2)</c:v>
                  </c:pt>
                </c:lvl>
                <c:lvl>
                  <c:pt idx="0">
                    <c:v>1. Ventas</c:v>
                  </c:pt>
                </c:lvl>
              </c:multiLvlStrCache>
            </c:multiLvlStrRef>
          </c:cat>
          <c:val>
            <c:numRef>
              <c:f>Hoja5!$C$9:$E$9</c:f>
              <c:numCache>
                <c:formatCode>General</c:formatCode>
                <c:ptCount val="3"/>
                <c:pt idx="0">
                  <c:v>44.5</c:v>
                </c:pt>
                <c:pt idx="1">
                  <c:v>47.8</c:v>
                </c:pt>
                <c:pt idx="2">
                  <c:v>92.3</c:v>
                </c:pt>
              </c:numCache>
            </c:numRef>
          </c:val>
          <c:extLst>
            <c:ext xmlns:c16="http://schemas.microsoft.com/office/drawing/2014/chart" uri="{C3380CC4-5D6E-409C-BE32-E72D297353CC}">
              <c16:uniqueId val="{0000000D-85A5-4193-8927-EC41E394D5FB}"/>
            </c:ext>
          </c:extLst>
        </c:ser>
        <c:dLbls>
          <c:showLegendKey val="0"/>
          <c:showVal val="0"/>
          <c:showCatName val="0"/>
          <c:showSerName val="0"/>
          <c:showPercent val="0"/>
          <c:showBubbleSize val="0"/>
        </c:dLbls>
        <c:gapWidth val="267"/>
        <c:overlap val="-43"/>
        <c:axId val="1785157127"/>
        <c:axId val="1785188871"/>
      </c:barChart>
      <c:catAx>
        <c:axId val="17851571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O"/>
          </a:p>
        </c:txPr>
        <c:crossAx val="1785188871"/>
        <c:crosses val="autoZero"/>
        <c:auto val="1"/>
        <c:lblAlgn val="ctr"/>
        <c:lblOffset val="100"/>
        <c:noMultiLvlLbl val="0"/>
      </c:catAx>
      <c:valAx>
        <c:axId val="17851888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85157127"/>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Hoja6!$D$12</c:f>
              <c:strCache>
                <c:ptCount val="1"/>
                <c:pt idx="0">
                  <c:v>IRPF</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Hoja6!$B$13:$B$20</c:f>
              <c:strCache>
                <c:ptCount val="8"/>
                <c:pt idx="0">
                  <c:v>Ruíz</c:v>
                </c:pt>
                <c:pt idx="1">
                  <c:v>Sandoval</c:v>
                </c:pt>
                <c:pt idx="2">
                  <c:v>Antúnez</c:v>
                </c:pt>
                <c:pt idx="3">
                  <c:v>Melendo</c:v>
                </c:pt>
                <c:pt idx="4">
                  <c:v>Morales</c:v>
                </c:pt>
                <c:pt idx="5">
                  <c:v>Izquierdo</c:v>
                </c:pt>
                <c:pt idx="6">
                  <c:v>Rovira</c:v>
                </c:pt>
                <c:pt idx="7">
                  <c:v>TOTALES</c:v>
                </c:pt>
              </c:strCache>
            </c:strRef>
          </c:cat>
          <c:val>
            <c:numRef>
              <c:f>Hoja6!$D$13:$D$20</c:f>
              <c:numCache>
                <c:formatCode>General</c:formatCode>
                <c:ptCount val="8"/>
                <c:pt idx="0">
                  <c:v>180000</c:v>
                </c:pt>
                <c:pt idx="1">
                  <c:v>187500</c:v>
                </c:pt>
                <c:pt idx="2">
                  <c:v>198000</c:v>
                </c:pt>
                <c:pt idx="3">
                  <c:v>165000</c:v>
                </c:pt>
                <c:pt idx="4">
                  <c:v>345000</c:v>
                </c:pt>
                <c:pt idx="5">
                  <c:v>351000</c:v>
                </c:pt>
                <c:pt idx="6">
                  <c:v>510000</c:v>
                </c:pt>
                <c:pt idx="7" formatCode="#,##0">
                  <c:v>1936500</c:v>
                </c:pt>
              </c:numCache>
            </c:numRef>
          </c:val>
          <c:extLst>
            <c:ext xmlns:c16="http://schemas.microsoft.com/office/drawing/2014/chart" uri="{C3380CC4-5D6E-409C-BE32-E72D297353CC}">
              <c16:uniqueId val="{00000000-22EE-4195-A1C9-22EE4BEB76C1}"/>
            </c:ext>
          </c:extLst>
        </c:ser>
        <c:dLbls>
          <c:dLblPos val="inEnd"/>
          <c:showLegendKey val="0"/>
          <c:showVal val="1"/>
          <c:showCatName val="0"/>
          <c:showSerName val="0"/>
          <c:showPercent val="0"/>
          <c:showBubbleSize val="0"/>
        </c:dLbls>
        <c:gapWidth val="41"/>
        <c:axId val="2099102728"/>
        <c:axId val="2099104776"/>
      </c:barChart>
      <c:catAx>
        <c:axId val="2099102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99104776"/>
        <c:crosses val="autoZero"/>
        <c:auto val="1"/>
        <c:lblAlgn val="ctr"/>
        <c:lblOffset val="100"/>
        <c:noMultiLvlLbl val="0"/>
      </c:catAx>
      <c:valAx>
        <c:axId val="2099104776"/>
        <c:scaling>
          <c:orientation val="minMax"/>
        </c:scaling>
        <c:delete val="1"/>
        <c:axPos val="l"/>
        <c:numFmt formatCode="General" sourceLinked="1"/>
        <c:majorTickMark val="none"/>
        <c:minorTickMark val="none"/>
        <c:tickLblPos val="nextTo"/>
        <c:crossAx val="2099102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Hoja6!$C$12</c:f>
              <c:strCache>
                <c:ptCount val="1"/>
                <c:pt idx="0">
                  <c:v>SUELDO BRUTO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Hoja6!$B$13:$B$20</c:f>
              <c:strCache>
                <c:ptCount val="8"/>
                <c:pt idx="0">
                  <c:v>Ruíz</c:v>
                </c:pt>
                <c:pt idx="1">
                  <c:v>Sandoval</c:v>
                </c:pt>
                <c:pt idx="2">
                  <c:v>Antúnez</c:v>
                </c:pt>
                <c:pt idx="3">
                  <c:v>Melendo</c:v>
                </c:pt>
                <c:pt idx="4">
                  <c:v>Morales</c:v>
                </c:pt>
                <c:pt idx="5">
                  <c:v>Izquierdo</c:v>
                </c:pt>
                <c:pt idx="6">
                  <c:v>Rovira</c:v>
                </c:pt>
                <c:pt idx="7">
                  <c:v>TOTALES</c:v>
                </c:pt>
              </c:strCache>
            </c:strRef>
          </c:cat>
          <c:val>
            <c:numRef>
              <c:f>Hoja6!$C$13:$C$20</c:f>
              <c:numCache>
                <c:formatCode>#,##0</c:formatCode>
                <c:ptCount val="8"/>
                <c:pt idx="0">
                  <c:v>1200000</c:v>
                </c:pt>
                <c:pt idx="1">
                  <c:v>1250000</c:v>
                </c:pt>
                <c:pt idx="2">
                  <c:v>1320000</c:v>
                </c:pt>
                <c:pt idx="3">
                  <c:v>1100000</c:v>
                </c:pt>
                <c:pt idx="4">
                  <c:v>2300000</c:v>
                </c:pt>
                <c:pt idx="5">
                  <c:v>2340000</c:v>
                </c:pt>
                <c:pt idx="6">
                  <c:v>3400000</c:v>
                </c:pt>
                <c:pt idx="7">
                  <c:v>12910000</c:v>
                </c:pt>
              </c:numCache>
            </c:numRef>
          </c:val>
          <c:extLst>
            <c:ext xmlns:c16="http://schemas.microsoft.com/office/drawing/2014/chart" uri="{C3380CC4-5D6E-409C-BE32-E72D297353CC}">
              <c16:uniqueId val="{00000000-6570-4B05-B178-71FF451FCA61}"/>
            </c:ext>
          </c:extLst>
        </c:ser>
        <c:ser>
          <c:idx val="3"/>
          <c:order val="1"/>
          <c:tx>
            <c:strRef>
              <c:f>Hoja6!$F$12</c:f>
              <c:strCache>
                <c:ptCount val="1"/>
                <c:pt idx="0">
                  <c:v>SUELDO NETO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Hoja6!$B$13:$B$20</c:f>
              <c:strCache>
                <c:ptCount val="8"/>
                <c:pt idx="0">
                  <c:v>Ruíz</c:v>
                </c:pt>
                <c:pt idx="1">
                  <c:v>Sandoval</c:v>
                </c:pt>
                <c:pt idx="2">
                  <c:v>Antúnez</c:v>
                </c:pt>
                <c:pt idx="3">
                  <c:v>Melendo</c:v>
                </c:pt>
                <c:pt idx="4">
                  <c:v>Morales</c:v>
                </c:pt>
                <c:pt idx="5">
                  <c:v>Izquierdo</c:v>
                </c:pt>
                <c:pt idx="6">
                  <c:v>Rovira</c:v>
                </c:pt>
                <c:pt idx="7">
                  <c:v>TOTALES</c:v>
                </c:pt>
              </c:strCache>
            </c:strRef>
          </c:cat>
          <c:val>
            <c:numRef>
              <c:f>Hoja6!$F$13:$F$20</c:f>
              <c:numCache>
                <c:formatCode>#,##0</c:formatCode>
                <c:ptCount val="8"/>
                <c:pt idx="0">
                  <c:v>996000</c:v>
                </c:pt>
                <c:pt idx="1">
                  <c:v>1037500</c:v>
                </c:pt>
                <c:pt idx="2">
                  <c:v>1095600</c:v>
                </c:pt>
                <c:pt idx="3">
                  <c:v>913000</c:v>
                </c:pt>
                <c:pt idx="4">
                  <c:v>1909000</c:v>
                </c:pt>
                <c:pt idx="5">
                  <c:v>1942200</c:v>
                </c:pt>
                <c:pt idx="6">
                  <c:v>2822000</c:v>
                </c:pt>
                <c:pt idx="7">
                  <c:v>10715300</c:v>
                </c:pt>
              </c:numCache>
            </c:numRef>
          </c:val>
          <c:extLst>
            <c:ext xmlns:c16="http://schemas.microsoft.com/office/drawing/2014/chart" uri="{C3380CC4-5D6E-409C-BE32-E72D297353CC}">
              <c16:uniqueId val="{00000006-6570-4B05-B178-71FF451FCA61}"/>
            </c:ext>
          </c:extLst>
        </c:ser>
        <c:dLbls>
          <c:showLegendKey val="0"/>
          <c:showVal val="0"/>
          <c:showCatName val="0"/>
          <c:showSerName val="0"/>
          <c:showPercent val="0"/>
          <c:showBubbleSize val="0"/>
        </c:dLbls>
        <c:gapWidth val="100"/>
        <c:overlap val="-24"/>
        <c:axId val="2099110408"/>
        <c:axId val="1024968199"/>
      </c:barChart>
      <c:catAx>
        <c:axId val="2099110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968199"/>
        <c:crosses val="autoZero"/>
        <c:auto val="1"/>
        <c:lblAlgn val="ctr"/>
        <c:lblOffset val="100"/>
        <c:noMultiLvlLbl val="0"/>
      </c:catAx>
      <c:valAx>
        <c:axId val="10249681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9110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Hoja6!$G$12</c:f>
              <c:strCache>
                <c:ptCount val="1"/>
                <c:pt idx="0">
                  <c:v>PAGAS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Hoja6!$B$13:$B$20</c:f>
              <c:strCache>
                <c:ptCount val="8"/>
                <c:pt idx="0">
                  <c:v>Ruíz</c:v>
                </c:pt>
                <c:pt idx="1">
                  <c:v>Sandoval</c:v>
                </c:pt>
                <c:pt idx="2">
                  <c:v>Antúnez</c:v>
                </c:pt>
                <c:pt idx="3">
                  <c:v>Melendo</c:v>
                </c:pt>
                <c:pt idx="4">
                  <c:v>Morales</c:v>
                </c:pt>
                <c:pt idx="5">
                  <c:v>Izquierdo</c:v>
                </c:pt>
                <c:pt idx="6">
                  <c:v>Rovira</c:v>
                </c:pt>
                <c:pt idx="7">
                  <c:v>TOTALES</c:v>
                </c:pt>
              </c:strCache>
            </c:strRef>
          </c:cat>
          <c:val>
            <c:numRef>
              <c:f>Hoja6!$G$13:$G$20</c:f>
              <c:numCache>
                <c:formatCode>General</c:formatCode>
                <c:ptCount val="8"/>
                <c:pt idx="0">
                  <c:v>66400</c:v>
                </c:pt>
                <c:pt idx="1">
                  <c:v>69166.666666666672</c:v>
                </c:pt>
                <c:pt idx="2">
                  <c:v>73040</c:v>
                </c:pt>
                <c:pt idx="3">
                  <c:v>60866.666666666664</c:v>
                </c:pt>
                <c:pt idx="4">
                  <c:v>127266.66666666667</c:v>
                </c:pt>
                <c:pt idx="5">
                  <c:v>129480</c:v>
                </c:pt>
                <c:pt idx="6">
                  <c:v>188133.33333333334</c:v>
                </c:pt>
                <c:pt idx="7" formatCode="#,##0">
                  <c:v>714353.33333333337</c:v>
                </c:pt>
              </c:numCache>
            </c:numRef>
          </c:val>
          <c:extLst>
            <c:ext xmlns:c16="http://schemas.microsoft.com/office/drawing/2014/chart" uri="{C3380CC4-5D6E-409C-BE32-E72D297353CC}">
              <c16:uniqueId val="{00000000-EB63-4716-8FA3-B4E98829F75F}"/>
            </c:ext>
          </c:extLst>
        </c:ser>
        <c:dLbls>
          <c:showLegendKey val="0"/>
          <c:showVal val="0"/>
          <c:showCatName val="0"/>
          <c:showSerName val="0"/>
          <c:showPercent val="0"/>
          <c:showBubbleSize val="0"/>
        </c:dLbls>
        <c:gapWidth val="164"/>
        <c:overlap val="-22"/>
        <c:axId val="1387032583"/>
        <c:axId val="1387034631"/>
      </c:barChart>
      <c:catAx>
        <c:axId val="138703258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034631"/>
        <c:crosses val="autoZero"/>
        <c:auto val="1"/>
        <c:lblAlgn val="ctr"/>
        <c:lblOffset val="100"/>
        <c:noMultiLvlLbl val="0"/>
      </c:catAx>
      <c:valAx>
        <c:axId val="1387034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0325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Hoja6!$E$12</c:f>
              <c:strCache>
                <c:ptCount val="1"/>
                <c:pt idx="0">
                  <c:v>SS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Hoja6!$B$13:$B$20</c:f>
              <c:strCache>
                <c:ptCount val="8"/>
                <c:pt idx="0">
                  <c:v>Ruíz</c:v>
                </c:pt>
                <c:pt idx="1">
                  <c:v>Sandoval</c:v>
                </c:pt>
                <c:pt idx="2">
                  <c:v>Antúnez</c:v>
                </c:pt>
                <c:pt idx="3">
                  <c:v>Melendo</c:v>
                </c:pt>
                <c:pt idx="4">
                  <c:v>Morales</c:v>
                </c:pt>
                <c:pt idx="5">
                  <c:v>Izquierdo</c:v>
                </c:pt>
                <c:pt idx="6">
                  <c:v>Rovira</c:v>
                </c:pt>
                <c:pt idx="7">
                  <c:v>TOTALES</c:v>
                </c:pt>
              </c:strCache>
            </c:strRef>
          </c:cat>
          <c:val>
            <c:numRef>
              <c:f>Hoja6!$E$13:$E$20</c:f>
              <c:numCache>
                <c:formatCode>General</c:formatCode>
                <c:ptCount val="8"/>
                <c:pt idx="0">
                  <c:v>24000</c:v>
                </c:pt>
                <c:pt idx="1">
                  <c:v>25000</c:v>
                </c:pt>
                <c:pt idx="2">
                  <c:v>26400</c:v>
                </c:pt>
                <c:pt idx="3">
                  <c:v>22000</c:v>
                </c:pt>
                <c:pt idx="4">
                  <c:v>46000</c:v>
                </c:pt>
                <c:pt idx="5">
                  <c:v>46800</c:v>
                </c:pt>
                <c:pt idx="6">
                  <c:v>68000</c:v>
                </c:pt>
                <c:pt idx="7" formatCode="#,##0">
                  <c:v>258200</c:v>
                </c:pt>
              </c:numCache>
            </c:numRef>
          </c:val>
          <c:extLst>
            <c:ext xmlns:c16="http://schemas.microsoft.com/office/drawing/2014/chart" uri="{C3380CC4-5D6E-409C-BE32-E72D297353CC}">
              <c16:uniqueId val="{00000000-51F8-4D50-B87F-A380BDB99175}"/>
            </c:ext>
          </c:extLst>
        </c:ser>
        <c:dLbls>
          <c:showLegendKey val="0"/>
          <c:showVal val="0"/>
          <c:showCatName val="0"/>
          <c:showSerName val="0"/>
          <c:showPercent val="0"/>
          <c:showBubbleSize val="0"/>
        </c:dLbls>
        <c:gapWidth val="100"/>
        <c:overlap val="-24"/>
        <c:axId val="1213937159"/>
        <c:axId val="1262193159"/>
      </c:barChart>
      <c:catAx>
        <c:axId val="1213937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62193159"/>
        <c:crosses val="autoZero"/>
        <c:auto val="1"/>
        <c:lblAlgn val="ctr"/>
        <c:lblOffset val="100"/>
        <c:noMultiLvlLbl val="0"/>
      </c:catAx>
      <c:valAx>
        <c:axId val="1262193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3937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Consumo de Cada Provincia</a:t>
            </a:r>
          </a:p>
        </c:rich>
      </c:tx>
      <c:layout>
        <c:manualLayout>
          <c:xMode val="edge"/>
          <c:yMode val="edge"/>
          <c:x val="0.30411111111111111"/>
          <c:y val="1.73611111111111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Hoja7!$C$15</c:f>
              <c:strCache>
                <c:ptCount val="1"/>
                <c:pt idx="0">
                  <c:v>Tn 1994</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Hoja7!$B$16:$B$23</c:f>
              <c:strCache>
                <c:ptCount val="8"/>
                <c:pt idx="0">
                  <c:v>Almería</c:v>
                </c:pt>
                <c:pt idx="1">
                  <c:v>Cádiz</c:v>
                </c:pt>
                <c:pt idx="2">
                  <c:v>Córdoba</c:v>
                </c:pt>
                <c:pt idx="3">
                  <c:v>Granada</c:v>
                </c:pt>
                <c:pt idx="4">
                  <c:v>Huelva</c:v>
                </c:pt>
                <c:pt idx="5">
                  <c:v>Jaén</c:v>
                </c:pt>
                <c:pt idx="6">
                  <c:v>Málaga</c:v>
                </c:pt>
                <c:pt idx="7">
                  <c:v>Sevilla</c:v>
                </c:pt>
              </c:strCache>
            </c:strRef>
          </c:cat>
          <c:val>
            <c:numRef>
              <c:f>Hoja7!$C$16:$C$23</c:f>
              <c:numCache>
                <c:formatCode>General</c:formatCode>
                <c:ptCount val="8"/>
                <c:pt idx="0">
                  <c:v>472825</c:v>
                </c:pt>
                <c:pt idx="1">
                  <c:v>635758</c:v>
                </c:pt>
                <c:pt idx="2">
                  <c:v>391751</c:v>
                </c:pt>
                <c:pt idx="3">
                  <c:v>517147</c:v>
                </c:pt>
                <c:pt idx="4">
                  <c:v>277792</c:v>
                </c:pt>
                <c:pt idx="5">
                  <c:v>344378</c:v>
                </c:pt>
                <c:pt idx="6">
                  <c:v>139051</c:v>
                </c:pt>
                <c:pt idx="7">
                  <c:v>1413714</c:v>
                </c:pt>
              </c:numCache>
            </c:numRef>
          </c:val>
          <c:extLst>
            <c:ext xmlns:c16="http://schemas.microsoft.com/office/drawing/2014/chart" uri="{C3380CC4-5D6E-409C-BE32-E72D297353CC}">
              <c16:uniqueId val="{00000000-0A21-489C-8749-FB00E5F2EAA8}"/>
            </c:ext>
          </c:extLst>
        </c:ser>
        <c:ser>
          <c:idx val="1"/>
          <c:order val="1"/>
          <c:tx>
            <c:strRef>
              <c:f>Hoja7!$D$15</c:f>
              <c:strCache>
                <c:ptCount val="1"/>
                <c:pt idx="0">
                  <c:v>Tn 1995</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Hoja7!$B$16:$B$23</c:f>
              <c:strCache>
                <c:ptCount val="8"/>
                <c:pt idx="0">
                  <c:v>Almería</c:v>
                </c:pt>
                <c:pt idx="1">
                  <c:v>Cádiz</c:v>
                </c:pt>
                <c:pt idx="2">
                  <c:v>Córdoba</c:v>
                </c:pt>
                <c:pt idx="3">
                  <c:v>Granada</c:v>
                </c:pt>
                <c:pt idx="4">
                  <c:v>Huelva</c:v>
                </c:pt>
                <c:pt idx="5">
                  <c:v>Jaén</c:v>
                </c:pt>
                <c:pt idx="6">
                  <c:v>Málaga</c:v>
                </c:pt>
                <c:pt idx="7">
                  <c:v>Sevilla</c:v>
                </c:pt>
              </c:strCache>
            </c:strRef>
          </c:cat>
          <c:val>
            <c:numRef>
              <c:f>Hoja7!$D$16:$D$23</c:f>
              <c:numCache>
                <c:formatCode>General</c:formatCode>
                <c:ptCount val="8"/>
                <c:pt idx="0">
                  <c:v>469450</c:v>
                </c:pt>
                <c:pt idx="1">
                  <c:v>477031</c:v>
                </c:pt>
                <c:pt idx="2">
                  <c:v>442085</c:v>
                </c:pt>
                <c:pt idx="3">
                  <c:v>517489</c:v>
                </c:pt>
                <c:pt idx="4">
                  <c:v>263190</c:v>
                </c:pt>
                <c:pt idx="5">
                  <c:v>295516</c:v>
                </c:pt>
                <c:pt idx="6">
                  <c:v>1021136</c:v>
                </c:pt>
                <c:pt idx="7">
                  <c:v>1146294</c:v>
                </c:pt>
              </c:numCache>
            </c:numRef>
          </c:val>
          <c:extLst>
            <c:ext xmlns:c16="http://schemas.microsoft.com/office/drawing/2014/chart" uri="{C3380CC4-5D6E-409C-BE32-E72D297353CC}">
              <c16:uniqueId val="{00000002-0A21-489C-8749-FB00E5F2EAA8}"/>
            </c:ext>
          </c:extLst>
        </c:ser>
        <c:dLbls>
          <c:dLblPos val="inEnd"/>
          <c:showLegendKey val="0"/>
          <c:showVal val="1"/>
          <c:showCatName val="0"/>
          <c:showSerName val="0"/>
          <c:showPercent val="0"/>
          <c:showBubbleSize val="0"/>
        </c:dLbls>
        <c:gapWidth val="65"/>
        <c:axId val="1216946695"/>
        <c:axId val="1216958983"/>
      </c:barChart>
      <c:catAx>
        <c:axId val="1216946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6958983"/>
        <c:crosses val="autoZero"/>
        <c:auto val="1"/>
        <c:lblAlgn val="ctr"/>
        <c:lblOffset val="100"/>
        <c:noMultiLvlLbl val="0"/>
      </c:catAx>
      <c:valAx>
        <c:axId val="12169589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1694669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Hoja7!$C$15</c:f>
              <c:strCache>
                <c:ptCount val="1"/>
                <c:pt idx="0">
                  <c:v>Tn 1994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Hoja7!$B$16:$B$24</c:f>
              <c:strCache>
                <c:ptCount val="9"/>
                <c:pt idx="0">
                  <c:v>Almería</c:v>
                </c:pt>
                <c:pt idx="1">
                  <c:v>Cádiz</c:v>
                </c:pt>
                <c:pt idx="2">
                  <c:v>Córdoba</c:v>
                </c:pt>
                <c:pt idx="3">
                  <c:v>Granada</c:v>
                </c:pt>
                <c:pt idx="4">
                  <c:v>Huelva</c:v>
                </c:pt>
                <c:pt idx="5">
                  <c:v>Jaén</c:v>
                </c:pt>
                <c:pt idx="6">
                  <c:v>Málaga</c:v>
                </c:pt>
                <c:pt idx="7">
                  <c:v>Sevilla</c:v>
                </c:pt>
                <c:pt idx="8">
                  <c:v>TOTAL</c:v>
                </c:pt>
              </c:strCache>
            </c:strRef>
          </c:cat>
          <c:val>
            <c:numRef>
              <c:f>Hoja7!$C$16:$C$24</c:f>
              <c:numCache>
                <c:formatCode>General</c:formatCode>
                <c:ptCount val="9"/>
                <c:pt idx="0">
                  <c:v>472825</c:v>
                </c:pt>
                <c:pt idx="1">
                  <c:v>635758</c:v>
                </c:pt>
                <c:pt idx="2">
                  <c:v>391751</c:v>
                </c:pt>
                <c:pt idx="3">
                  <c:v>517147</c:v>
                </c:pt>
                <c:pt idx="4">
                  <c:v>277792</c:v>
                </c:pt>
                <c:pt idx="5">
                  <c:v>344378</c:v>
                </c:pt>
                <c:pt idx="6">
                  <c:v>139051</c:v>
                </c:pt>
                <c:pt idx="7">
                  <c:v>1413714</c:v>
                </c:pt>
                <c:pt idx="8">
                  <c:v>4192416</c:v>
                </c:pt>
              </c:numCache>
            </c:numRef>
          </c:val>
          <c:extLst>
            <c:ext xmlns:c16="http://schemas.microsoft.com/office/drawing/2014/chart" uri="{C3380CC4-5D6E-409C-BE32-E72D297353CC}">
              <c16:uniqueId val="{00000000-1D8C-459E-A6BA-6B9BDBBF8981}"/>
            </c:ext>
          </c:extLst>
        </c:ser>
        <c:ser>
          <c:idx val="1"/>
          <c:order val="1"/>
          <c:tx>
            <c:strRef>
              <c:f>Hoja7!$D$15</c:f>
              <c:strCache>
                <c:ptCount val="1"/>
                <c:pt idx="0">
                  <c:v>Tn 1995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Hoja7!$B$16:$B$24</c:f>
              <c:strCache>
                <c:ptCount val="9"/>
                <c:pt idx="0">
                  <c:v>Almería</c:v>
                </c:pt>
                <c:pt idx="1">
                  <c:v>Cádiz</c:v>
                </c:pt>
                <c:pt idx="2">
                  <c:v>Córdoba</c:v>
                </c:pt>
                <c:pt idx="3">
                  <c:v>Granada</c:v>
                </c:pt>
                <c:pt idx="4">
                  <c:v>Huelva</c:v>
                </c:pt>
                <c:pt idx="5">
                  <c:v>Jaén</c:v>
                </c:pt>
                <c:pt idx="6">
                  <c:v>Málaga</c:v>
                </c:pt>
                <c:pt idx="7">
                  <c:v>Sevilla</c:v>
                </c:pt>
                <c:pt idx="8">
                  <c:v>TOTAL</c:v>
                </c:pt>
              </c:strCache>
            </c:strRef>
          </c:cat>
          <c:val>
            <c:numRef>
              <c:f>Hoja7!$D$16:$D$24</c:f>
              <c:numCache>
                <c:formatCode>General</c:formatCode>
                <c:ptCount val="9"/>
                <c:pt idx="0">
                  <c:v>469450</c:v>
                </c:pt>
                <c:pt idx="1">
                  <c:v>477031</c:v>
                </c:pt>
                <c:pt idx="2">
                  <c:v>442085</c:v>
                </c:pt>
                <c:pt idx="3">
                  <c:v>517489</c:v>
                </c:pt>
                <c:pt idx="4">
                  <c:v>263190</c:v>
                </c:pt>
                <c:pt idx="5">
                  <c:v>295516</c:v>
                </c:pt>
                <c:pt idx="6">
                  <c:v>1021136</c:v>
                </c:pt>
                <c:pt idx="7">
                  <c:v>1146294</c:v>
                </c:pt>
                <c:pt idx="8">
                  <c:v>4632191</c:v>
                </c:pt>
              </c:numCache>
            </c:numRef>
          </c:val>
          <c:extLst>
            <c:ext xmlns:c16="http://schemas.microsoft.com/office/drawing/2014/chart" uri="{C3380CC4-5D6E-409C-BE32-E72D297353CC}">
              <c16:uniqueId val="{00000002-1D8C-459E-A6BA-6B9BDBBF8981}"/>
            </c:ext>
          </c:extLst>
        </c:ser>
        <c:dLbls>
          <c:showLegendKey val="0"/>
          <c:showVal val="0"/>
          <c:showCatName val="0"/>
          <c:showSerName val="0"/>
          <c:showPercent val="0"/>
          <c:showBubbleSize val="0"/>
        </c:dLbls>
        <c:gapWidth val="150"/>
        <c:axId val="1200957447"/>
        <c:axId val="1200984071"/>
      </c:barChart>
      <c:lineChart>
        <c:grouping val="standard"/>
        <c:varyColors val="0"/>
        <c:ser>
          <c:idx val="3"/>
          <c:order val="2"/>
          <c:tx>
            <c:strRef>
              <c:f>Hoja7!$F$15</c:f>
              <c:strCache>
                <c:ptCount val="1"/>
                <c:pt idx="0">
                  <c:v>MEDIAS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Hoja7!$B$16:$B$24</c:f>
              <c:strCache>
                <c:ptCount val="9"/>
                <c:pt idx="0">
                  <c:v>Almería</c:v>
                </c:pt>
                <c:pt idx="1">
                  <c:v>Cádiz</c:v>
                </c:pt>
                <c:pt idx="2">
                  <c:v>Córdoba</c:v>
                </c:pt>
                <c:pt idx="3">
                  <c:v>Granada</c:v>
                </c:pt>
                <c:pt idx="4">
                  <c:v>Huelva</c:v>
                </c:pt>
                <c:pt idx="5">
                  <c:v>Jaén</c:v>
                </c:pt>
                <c:pt idx="6">
                  <c:v>Málaga</c:v>
                </c:pt>
                <c:pt idx="7">
                  <c:v>Sevilla</c:v>
                </c:pt>
                <c:pt idx="8">
                  <c:v>TOTAL</c:v>
                </c:pt>
              </c:strCache>
            </c:strRef>
          </c:cat>
          <c:val>
            <c:numRef>
              <c:f>Hoja7!$F$16:$F$24</c:f>
              <c:numCache>
                <c:formatCode>General</c:formatCode>
                <c:ptCount val="9"/>
                <c:pt idx="0">
                  <c:v>471137.5</c:v>
                </c:pt>
                <c:pt idx="1">
                  <c:v>556394.5</c:v>
                </c:pt>
                <c:pt idx="2">
                  <c:v>416918</c:v>
                </c:pt>
                <c:pt idx="3">
                  <c:v>517318</c:v>
                </c:pt>
                <c:pt idx="4">
                  <c:v>270491</c:v>
                </c:pt>
                <c:pt idx="5">
                  <c:v>319947</c:v>
                </c:pt>
                <c:pt idx="6">
                  <c:v>580093.5</c:v>
                </c:pt>
                <c:pt idx="7">
                  <c:v>1280004</c:v>
                </c:pt>
                <c:pt idx="8">
                  <c:v>4412303.5</c:v>
                </c:pt>
              </c:numCache>
            </c:numRef>
          </c:val>
          <c:smooth val="0"/>
          <c:extLst>
            <c:ext xmlns:c16="http://schemas.microsoft.com/office/drawing/2014/chart" uri="{C3380CC4-5D6E-409C-BE32-E72D297353CC}">
              <c16:uniqueId val="{00000006-1D8C-459E-A6BA-6B9BDBBF8981}"/>
            </c:ext>
          </c:extLst>
        </c:ser>
        <c:dLbls>
          <c:showLegendKey val="0"/>
          <c:showVal val="0"/>
          <c:showCatName val="0"/>
          <c:showSerName val="0"/>
          <c:showPercent val="0"/>
          <c:showBubbleSize val="0"/>
        </c:dLbls>
        <c:marker val="1"/>
        <c:smooth val="0"/>
        <c:axId val="1200957447"/>
        <c:axId val="1200984071"/>
      </c:lineChart>
      <c:catAx>
        <c:axId val="1200957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984071"/>
        <c:crosses val="autoZero"/>
        <c:auto val="1"/>
        <c:lblAlgn val="ctr"/>
        <c:lblOffset val="100"/>
        <c:noMultiLvlLbl val="0"/>
      </c:catAx>
      <c:valAx>
        <c:axId val="1200984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957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Hoja7!$E$15</c:f>
              <c:strCache>
                <c:ptCount val="1"/>
                <c:pt idx="0">
                  <c:v>TOTAL</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Hoja7!$B$16:$B$24</c:f>
              <c:strCache>
                <c:ptCount val="9"/>
                <c:pt idx="0">
                  <c:v>Almería</c:v>
                </c:pt>
                <c:pt idx="1">
                  <c:v>Cádiz</c:v>
                </c:pt>
                <c:pt idx="2">
                  <c:v>Córdoba</c:v>
                </c:pt>
                <c:pt idx="3">
                  <c:v>Granada</c:v>
                </c:pt>
                <c:pt idx="4">
                  <c:v>Huelva</c:v>
                </c:pt>
                <c:pt idx="5">
                  <c:v>Jaén</c:v>
                </c:pt>
                <c:pt idx="6">
                  <c:v>Málaga</c:v>
                </c:pt>
                <c:pt idx="7">
                  <c:v>Sevilla</c:v>
                </c:pt>
                <c:pt idx="8">
                  <c:v>TOTAL</c:v>
                </c:pt>
              </c:strCache>
            </c:strRef>
          </c:cat>
          <c:val>
            <c:numRef>
              <c:f>Hoja7!$E$16:$E$24</c:f>
              <c:numCache>
                <c:formatCode>General</c:formatCode>
                <c:ptCount val="9"/>
                <c:pt idx="0">
                  <c:v>942275</c:v>
                </c:pt>
                <c:pt idx="1">
                  <c:v>1112789</c:v>
                </c:pt>
                <c:pt idx="2">
                  <c:v>833836</c:v>
                </c:pt>
                <c:pt idx="3">
                  <c:v>1034636</c:v>
                </c:pt>
                <c:pt idx="4">
                  <c:v>540982</c:v>
                </c:pt>
                <c:pt idx="5">
                  <c:v>639894</c:v>
                </c:pt>
                <c:pt idx="6">
                  <c:v>1160187</c:v>
                </c:pt>
                <c:pt idx="7">
                  <c:v>2560008</c:v>
                </c:pt>
                <c:pt idx="8">
                  <c:v>8824607</c:v>
                </c:pt>
              </c:numCache>
            </c:numRef>
          </c:val>
          <c:smooth val="0"/>
          <c:extLst>
            <c:ext xmlns:c16="http://schemas.microsoft.com/office/drawing/2014/chart" uri="{C3380CC4-5D6E-409C-BE32-E72D297353CC}">
              <c16:uniqueId val="{00000004-9E32-4520-B2F8-ACB18A285505}"/>
            </c:ext>
          </c:extLst>
        </c:ser>
        <c:ser>
          <c:idx val="3"/>
          <c:order val="1"/>
          <c:tx>
            <c:strRef>
              <c:f>Hoja7!$F$15</c:f>
              <c:strCache>
                <c:ptCount val="1"/>
                <c:pt idx="0">
                  <c:v>MEDIAS</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Hoja7!$B$16:$B$24</c:f>
              <c:strCache>
                <c:ptCount val="9"/>
                <c:pt idx="0">
                  <c:v>Almería</c:v>
                </c:pt>
                <c:pt idx="1">
                  <c:v>Cádiz</c:v>
                </c:pt>
                <c:pt idx="2">
                  <c:v>Córdoba</c:v>
                </c:pt>
                <c:pt idx="3">
                  <c:v>Granada</c:v>
                </c:pt>
                <c:pt idx="4">
                  <c:v>Huelva</c:v>
                </c:pt>
                <c:pt idx="5">
                  <c:v>Jaén</c:v>
                </c:pt>
                <c:pt idx="6">
                  <c:v>Málaga</c:v>
                </c:pt>
                <c:pt idx="7">
                  <c:v>Sevilla</c:v>
                </c:pt>
                <c:pt idx="8">
                  <c:v>TOTAL</c:v>
                </c:pt>
              </c:strCache>
            </c:strRef>
          </c:cat>
          <c:val>
            <c:numRef>
              <c:f>Hoja7!$F$16:$F$24</c:f>
              <c:numCache>
                <c:formatCode>General</c:formatCode>
                <c:ptCount val="9"/>
                <c:pt idx="0">
                  <c:v>471137.5</c:v>
                </c:pt>
                <c:pt idx="1">
                  <c:v>556394.5</c:v>
                </c:pt>
                <c:pt idx="2">
                  <c:v>416918</c:v>
                </c:pt>
                <c:pt idx="3">
                  <c:v>517318</c:v>
                </c:pt>
                <c:pt idx="4">
                  <c:v>270491</c:v>
                </c:pt>
                <c:pt idx="5">
                  <c:v>319947</c:v>
                </c:pt>
                <c:pt idx="6">
                  <c:v>580093.5</c:v>
                </c:pt>
                <c:pt idx="7">
                  <c:v>1280004</c:v>
                </c:pt>
                <c:pt idx="8">
                  <c:v>4412303.5</c:v>
                </c:pt>
              </c:numCache>
            </c:numRef>
          </c:val>
          <c:smooth val="0"/>
          <c:extLst>
            <c:ext xmlns:c16="http://schemas.microsoft.com/office/drawing/2014/chart" uri="{C3380CC4-5D6E-409C-BE32-E72D297353CC}">
              <c16:uniqueId val="{00000006-9E32-4520-B2F8-ACB18A285505}"/>
            </c:ext>
          </c:extLst>
        </c:ser>
        <c:dLbls>
          <c:dLblPos val="ctr"/>
          <c:showLegendKey val="0"/>
          <c:showVal val="1"/>
          <c:showCatName val="0"/>
          <c:showSerName val="0"/>
          <c:showPercent val="0"/>
          <c:showBubbleSize val="0"/>
        </c:dLbls>
        <c:marker val="1"/>
        <c:smooth val="0"/>
        <c:axId val="1638011911"/>
        <c:axId val="1638013959"/>
      </c:lineChart>
      <c:catAx>
        <c:axId val="1638011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8013959"/>
        <c:crosses val="autoZero"/>
        <c:auto val="1"/>
        <c:lblAlgn val="ctr"/>
        <c:lblOffset val="100"/>
        <c:noMultiLvlLbl val="0"/>
      </c:catAx>
      <c:valAx>
        <c:axId val="16380139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801191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Cuota</a:t>
            </a:r>
            <a:r>
              <a:rPr lang="es-CO" baseline="0"/>
              <a:t> capital</a:t>
            </a:r>
            <a:endParaRPr lang="es-CO"/>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bar"/>
        <c:grouping val="clustered"/>
        <c:varyColors val="0"/>
        <c:ser>
          <c:idx val="0"/>
          <c:order val="0"/>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Hoja8!$D$18:$D$23</c:f>
              <c:numCache>
                <c:formatCode>#,##0.00</c:formatCode>
                <c:ptCount val="6"/>
                <c:pt idx="0">
                  <c:v>223654.81</c:v>
                </c:pt>
                <c:pt idx="1">
                  <c:v>233585.083564</c:v>
                </c:pt>
                <c:pt idx="2">
                  <c:v>243956.26127424161</c:v>
                </c:pt>
                <c:pt idx="3">
                  <c:v>254787.91927481792</c:v>
                </c:pt>
                <c:pt idx="4">
                  <c:v>266100.50289061986</c:v>
                </c:pt>
                <c:pt idx="5">
                  <c:v>277915.36521896336</c:v>
                </c:pt>
              </c:numCache>
            </c:numRef>
          </c:val>
          <c:extLst>
            <c:ext xmlns:c16="http://schemas.microsoft.com/office/drawing/2014/chart" uri="{C3380CC4-5D6E-409C-BE32-E72D297353CC}">
              <c16:uniqueId val="{00000001-1BA6-414E-9D2D-F1117E132F57}"/>
            </c:ext>
          </c:extLst>
        </c:ser>
        <c:dLbls>
          <c:dLblPos val="inEnd"/>
          <c:showLegendKey val="0"/>
          <c:showVal val="1"/>
          <c:showCatName val="0"/>
          <c:showSerName val="0"/>
          <c:showPercent val="0"/>
          <c:showBubbleSize val="0"/>
        </c:dLbls>
        <c:gapWidth val="65"/>
        <c:axId val="1563754479"/>
        <c:axId val="1563738159"/>
      </c:barChart>
      <c:catAx>
        <c:axId val="15637544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563738159"/>
        <c:crosses val="autoZero"/>
        <c:auto val="1"/>
        <c:lblAlgn val="ctr"/>
        <c:lblOffset val="100"/>
        <c:noMultiLvlLbl val="0"/>
      </c:catAx>
      <c:valAx>
        <c:axId val="15637381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56375447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s-CO"/>
              <a:t>Total</a:t>
            </a:r>
            <a:r>
              <a:rPr lang="es-CO" baseline="0"/>
              <a:t> Amortizado</a:t>
            </a:r>
            <a:endParaRPr lang="es-CO"/>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s-CO"/>
        </a:p>
      </c:txPr>
    </c:title>
    <c:autoTitleDeleted val="0"/>
    <c:plotArea>
      <c:layout/>
      <c:scatterChart>
        <c:scatterStyle val="lineMarker"/>
        <c:varyColors val="0"/>
        <c:ser>
          <c:idx val="0"/>
          <c:order val="0"/>
          <c:spPr>
            <a:ln w="28575" cap="rnd">
              <a:solidFill>
                <a:schemeClr val="lt1">
                  <a:alpha val="50000"/>
                </a:schemeClr>
              </a:solid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yVal>
            <c:numRef>
              <c:f>Hoja8!$E$18:$E$23</c:f>
              <c:numCache>
                <c:formatCode>#,##0.00</c:formatCode>
                <c:ptCount val="6"/>
                <c:pt idx="0">
                  <c:v>223654.81</c:v>
                </c:pt>
                <c:pt idx="1">
                  <c:v>457239.89356400003</c:v>
                </c:pt>
                <c:pt idx="2">
                  <c:v>701196.15483824164</c:v>
                </c:pt>
                <c:pt idx="3">
                  <c:v>955984.07411305956</c:v>
                </c:pt>
                <c:pt idx="4">
                  <c:v>1222084.5770036795</c:v>
                </c:pt>
                <c:pt idx="5">
                  <c:v>1499999.9422226427</c:v>
                </c:pt>
              </c:numCache>
            </c:numRef>
          </c:yVal>
          <c:smooth val="0"/>
          <c:extLst>
            <c:ext xmlns:c16="http://schemas.microsoft.com/office/drawing/2014/chart" uri="{C3380CC4-5D6E-409C-BE32-E72D297353CC}">
              <c16:uniqueId val="{00000001-9C7C-4D0E-85F7-D70B6C9C8B72}"/>
            </c:ext>
          </c:extLst>
        </c:ser>
        <c:dLbls>
          <c:showLegendKey val="0"/>
          <c:showVal val="0"/>
          <c:showCatName val="0"/>
          <c:showSerName val="0"/>
          <c:showPercent val="0"/>
          <c:showBubbleSize val="0"/>
        </c:dLbls>
        <c:axId val="1582270495"/>
        <c:axId val="1582275775"/>
      </c:scatterChart>
      <c:valAx>
        <c:axId val="158227049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582275775"/>
        <c:crosses val="autoZero"/>
        <c:crossBetween val="midCat"/>
      </c:valAx>
      <c:valAx>
        <c:axId val="1582275775"/>
        <c:scaling>
          <c:orientation val="minMax"/>
        </c:scaling>
        <c:delete val="0"/>
        <c:axPos val="l"/>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582270495"/>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Cuota</a:t>
            </a:r>
            <a:r>
              <a:rPr lang="es-CO" baseline="0"/>
              <a:t> Interés</a:t>
            </a:r>
            <a:endParaRPr lang="es-CO"/>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Hoja8!$C$18:$C$23</c:f>
              <c:numCache>
                <c:formatCode>0.00</c:formatCode>
                <c:ptCount val="6"/>
                <c:pt idx="0">
                  <c:v>66600</c:v>
                </c:pt>
                <c:pt idx="1">
                  <c:v>56669.726435999997</c:v>
                </c:pt>
                <c:pt idx="2" formatCode="General">
                  <c:v>46298.548725758403</c:v>
                </c:pt>
                <c:pt idx="3" formatCode="General">
                  <c:v>35466.890725182071</c:v>
                </c:pt>
                <c:pt idx="4" formatCode="General">
                  <c:v>24154.307109380155</c:v>
                </c:pt>
                <c:pt idx="5" formatCode="General">
                  <c:v>12339.444781036635</c:v>
                </c:pt>
              </c:numCache>
            </c:numRef>
          </c:val>
          <c:extLst>
            <c:ext xmlns:c16="http://schemas.microsoft.com/office/drawing/2014/chart" uri="{C3380CC4-5D6E-409C-BE32-E72D297353CC}">
              <c16:uniqueId val="{00000001-31C3-4805-8E49-BE9C1596BF5C}"/>
            </c:ext>
          </c:extLst>
        </c:ser>
        <c:dLbls>
          <c:dLblPos val="inEnd"/>
          <c:showLegendKey val="0"/>
          <c:showVal val="1"/>
          <c:showCatName val="0"/>
          <c:showSerName val="0"/>
          <c:showPercent val="0"/>
          <c:showBubbleSize val="0"/>
        </c:dLbls>
        <c:gapWidth val="100"/>
        <c:overlap val="-24"/>
        <c:axId val="1227775488"/>
        <c:axId val="1227772128"/>
      </c:barChart>
      <c:catAx>
        <c:axId val="1227775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27772128"/>
        <c:crosses val="autoZero"/>
        <c:auto val="1"/>
        <c:lblAlgn val="ctr"/>
        <c:lblOffset val="100"/>
        <c:noMultiLvlLbl val="0"/>
      </c:catAx>
      <c:valAx>
        <c:axId val="12277721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2277754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Deuda</a:t>
            </a:r>
            <a:r>
              <a:rPr lang="en-US" baseline="0"/>
              <a:t> pendiente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Hoja8!$F$18:$F$23</c:f>
              <c:numCache>
                <c:formatCode>#,##0.00</c:formatCode>
                <c:ptCount val="6"/>
                <c:pt idx="0">
                  <c:v>1276345.19</c:v>
                </c:pt>
                <c:pt idx="1">
                  <c:v>1042760.106436</c:v>
                </c:pt>
                <c:pt idx="2">
                  <c:v>798803.84516175836</c:v>
                </c:pt>
                <c:pt idx="3">
                  <c:v>544015.92588694044</c:v>
                </c:pt>
                <c:pt idx="4">
                  <c:v>277915.42299632059</c:v>
                </c:pt>
                <c:pt idx="5">
                  <c:v>5.7777357229497284E-2</c:v>
                </c:pt>
              </c:numCache>
            </c:numRef>
          </c:val>
          <c:extLst>
            <c:ext xmlns:c16="http://schemas.microsoft.com/office/drawing/2014/chart" uri="{C3380CC4-5D6E-409C-BE32-E72D297353CC}">
              <c16:uniqueId val="{00000001-5862-479F-ADEB-25B74E069290}"/>
            </c:ext>
          </c:extLst>
        </c:ser>
        <c:dLbls>
          <c:dLblPos val="inEnd"/>
          <c:showLegendKey val="0"/>
          <c:showVal val="1"/>
          <c:showCatName val="0"/>
          <c:showSerName val="0"/>
          <c:showPercent val="0"/>
          <c:showBubbleSize val="0"/>
        </c:dLbls>
        <c:gapWidth val="269"/>
        <c:overlap val="-20"/>
        <c:axId val="1579490447"/>
        <c:axId val="1579491407"/>
      </c:barChart>
      <c:catAx>
        <c:axId val="15794904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s-CO"/>
          </a:p>
        </c:txPr>
        <c:crossAx val="1579491407"/>
        <c:crosses val="autoZero"/>
        <c:auto val="1"/>
        <c:lblAlgn val="ctr"/>
        <c:lblOffset val="100"/>
        <c:noMultiLvlLbl val="0"/>
      </c:catAx>
      <c:valAx>
        <c:axId val="15794914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579490447"/>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Porcentajes de Ventas de Cada mes en Cada Año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barChart>
        <c:barDir val="col"/>
        <c:grouping val="clustered"/>
        <c:varyColors val="0"/>
        <c:ser>
          <c:idx val="0"/>
          <c:order val="0"/>
          <c:tx>
            <c:strRef>
              <c:f>Hoja9!$B$14</c:f>
              <c:strCache>
                <c:ptCount val="1"/>
                <c:pt idx="0">
                  <c:v>Enero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Hoja9!$C$14:$K$14</c15:sqref>
                  </c15:fullRef>
                </c:ext>
              </c:extLst>
              <c:f>(Hoja9!$C$14,Hoja9!$F$14,Hoja9!$I$14)</c:f>
              <c:numCache>
                <c:formatCode>General</c:formatCode>
                <c:ptCount val="3"/>
                <c:pt idx="0">
                  <c:v>300</c:v>
                </c:pt>
                <c:pt idx="1">
                  <c:v>285</c:v>
                </c:pt>
                <c:pt idx="2">
                  <c:v>360</c:v>
                </c:pt>
              </c:numCache>
            </c:numRef>
          </c:val>
          <c:extLst>
            <c:ext xmlns:c16="http://schemas.microsoft.com/office/drawing/2014/chart" uri="{C3380CC4-5D6E-409C-BE32-E72D297353CC}">
              <c16:uniqueId val="{00000000-0C3E-48FB-943C-BC7E38FA54F7}"/>
            </c:ext>
          </c:extLst>
        </c:ser>
        <c:ser>
          <c:idx val="1"/>
          <c:order val="1"/>
          <c:tx>
            <c:strRef>
              <c:f>Hoja9!$B$15</c:f>
              <c:strCache>
                <c:ptCount val="1"/>
                <c:pt idx="0">
                  <c:v>Febrero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Hoja9!$C$15:$K$15</c15:sqref>
                  </c15:fullRef>
                </c:ext>
              </c:extLst>
              <c:f>(Hoja9!$C$15,Hoja9!$F$15,Hoja9!$I$15)</c:f>
              <c:numCache>
                <c:formatCode>General</c:formatCode>
                <c:ptCount val="3"/>
                <c:pt idx="0">
                  <c:v>315</c:v>
                </c:pt>
                <c:pt idx="1">
                  <c:v>345</c:v>
                </c:pt>
                <c:pt idx="2">
                  <c:v>360</c:v>
                </c:pt>
              </c:numCache>
            </c:numRef>
          </c:val>
          <c:extLst>
            <c:ext xmlns:c16="http://schemas.microsoft.com/office/drawing/2014/chart" uri="{C3380CC4-5D6E-409C-BE32-E72D297353CC}">
              <c16:uniqueId val="{00000001-0C3E-48FB-943C-BC7E38FA54F7}"/>
            </c:ext>
          </c:extLst>
        </c:ser>
        <c:ser>
          <c:idx val="2"/>
          <c:order val="2"/>
          <c:tx>
            <c:strRef>
              <c:f>Hoja9!$B$16</c:f>
              <c:strCache>
                <c:ptCount val="1"/>
                <c:pt idx="0">
                  <c:v>Marzo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Hoja9!$C$16:$K$16</c15:sqref>
                  </c15:fullRef>
                </c:ext>
              </c:extLst>
              <c:f>(Hoja9!$C$16,Hoja9!$F$16,Hoja9!$I$16)</c:f>
              <c:numCache>
                <c:formatCode>General</c:formatCode>
                <c:ptCount val="3"/>
                <c:pt idx="0">
                  <c:v>420</c:v>
                </c:pt>
                <c:pt idx="1">
                  <c:v>450</c:v>
                </c:pt>
                <c:pt idx="2">
                  <c:v>465</c:v>
                </c:pt>
              </c:numCache>
            </c:numRef>
          </c:val>
          <c:extLst>
            <c:ext xmlns:c16="http://schemas.microsoft.com/office/drawing/2014/chart" uri="{C3380CC4-5D6E-409C-BE32-E72D297353CC}">
              <c16:uniqueId val="{00000002-0C3E-48FB-943C-BC7E38FA54F7}"/>
            </c:ext>
          </c:extLst>
        </c:ser>
        <c:ser>
          <c:idx val="3"/>
          <c:order val="3"/>
          <c:tx>
            <c:strRef>
              <c:f>Hoja9!$B$17</c:f>
              <c:strCache>
                <c:ptCount val="1"/>
                <c:pt idx="0">
                  <c:v>Abril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Hoja9!$C$17:$K$17</c15:sqref>
                  </c15:fullRef>
                </c:ext>
              </c:extLst>
              <c:f>(Hoja9!$C$17,Hoja9!$F$17,Hoja9!$I$17)</c:f>
              <c:numCache>
                <c:formatCode>General</c:formatCode>
                <c:ptCount val="3"/>
                <c:pt idx="0">
                  <c:v>450</c:v>
                </c:pt>
                <c:pt idx="1">
                  <c:v>465</c:v>
                </c:pt>
                <c:pt idx="2">
                  <c:v>480</c:v>
                </c:pt>
              </c:numCache>
            </c:numRef>
          </c:val>
          <c:extLst>
            <c:ext xmlns:c16="http://schemas.microsoft.com/office/drawing/2014/chart" uri="{C3380CC4-5D6E-409C-BE32-E72D297353CC}">
              <c16:uniqueId val="{00000003-0C3E-48FB-943C-BC7E38FA54F7}"/>
            </c:ext>
          </c:extLst>
        </c:ser>
        <c:ser>
          <c:idx val="4"/>
          <c:order val="4"/>
          <c:tx>
            <c:strRef>
              <c:f>Hoja9!$B$18</c:f>
              <c:strCache>
                <c:ptCount val="1"/>
                <c:pt idx="0">
                  <c:v>Mayo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Hoja9!$C$18:$K$18</c15:sqref>
                  </c15:fullRef>
                </c:ext>
              </c:extLst>
              <c:f>(Hoja9!$C$18,Hoja9!$F$18,Hoja9!$I$18)</c:f>
              <c:numCache>
                <c:formatCode>General</c:formatCode>
                <c:ptCount val="3"/>
                <c:pt idx="0">
                  <c:v>405</c:v>
                </c:pt>
                <c:pt idx="1">
                  <c:v>480</c:v>
                </c:pt>
                <c:pt idx="2">
                  <c:v>450</c:v>
                </c:pt>
              </c:numCache>
            </c:numRef>
          </c:val>
          <c:extLst>
            <c:ext xmlns:c16="http://schemas.microsoft.com/office/drawing/2014/chart" uri="{C3380CC4-5D6E-409C-BE32-E72D297353CC}">
              <c16:uniqueId val="{00000004-0C3E-48FB-943C-BC7E38FA54F7}"/>
            </c:ext>
          </c:extLst>
        </c:ser>
        <c:ser>
          <c:idx val="5"/>
          <c:order val="5"/>
          <c:tx>
            <c:strRef>
              <c:f>Hoja9!$B$19</c:f>
              <c:strCache>
                <c:ptCount val="1"/>
                <c:pt idx="0">
                  <c:v>Junio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Hoja9!$C$19:$K$19</c15:sqref>
                  </c15:fullRef>
                </c:ext>
              </c:extLst>
              <c:f>(Hoja9!$C$19,Hoja9!$F$19,Hoja9!$I$19)</c:f>
              <c:numCache>
                <c:formatCode>General</c:formatCode>
                <c:ptCount val="3"/>
                <c:pt idx="0">
                  <c:v>375</c:v>
                </c:pt>
                <c:pt idx="1">
                  <c:v>420</c:v>
                </c:pt>
                <c:pt idx="2">
                  <c:v>420</c:v>
                </c:pt>
              </c:numCache>
            </c:numRef>
          </c:val>
          <c:extLst>
            <c:ext xmlns:c16="http://schemas.microsoft.com/office/drawing/2014/chart" uri="{C3380CC4-5D6E-409C-BE32-E72D297353CC}">
              <c16:uniqueId val="{00000005-0C3E-48FB-943C-BC7E38FA54F7}"/>
            </c:ext>
          </c:extLst>
        </c:ser>
        <c:ser>
          <c:idx val="6"/>
          <c:order val="6"/>
          <c:tx>
            <c:strRef>
              <c:f>Hoja9!$B$20</c:f>
              <c:strCache>
                <c:ptCount val="1"/>
                <c:pt idx="0">
                  <c:v>Julio</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Hoja9!$C$20:$K$20</c15:sqref>
                  </c15:fullRef>
                </c:ext>
              </c:extLst>
              <c:f>(Hoja9!$C$20,Hoja9!$F$20,Hoja9!$I$20)</c:f>
              <c:numCache>
                <c:formatCode>General</c:formatCode>
                <c:ptCount val="3"/>
                <c:pt idx="0">
                  <c:v>390</c:v>
                </c:pt>
                <c:pt idx="1">
                  <c:v>435</c:v>
                </c:pt>
                <c:pt idx="2">
                  <c:v>420</c:v>
                </c:pt>
              </c:numCache>
            </c:numRef>
          </c:val>
          <c:extLst>
            <c:ext xmlns:c16="http://schemas.microsoft.com/office/drawing/2014/chart" uri="{C3380CC4-5D6E-409C-BE32-E72D297353CC}">
              <c16:uniqueId val="{00000006-0C3E-48FB-943C-BC7E38FA54F7}"/>
            </c:ext>
          </c:extLst>
        </c:ser>
        <c:ser>
          <c:idx val="7"/>
          <c:order val="7"/>
          <c:tx>
            <c:strRef>
              <c:f>Hoja9!$B$21</c:f>
              <c:strCache>
                <c:ptCount val="1"/>
                <c:pt idx="0">
                  <c:v>Agosto</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Hoja9!$C$21:$K$21</c15:sqref>
                  </c15:fullRef>
                </c:ext>
              </c:extLst>
              <c:f>(Hoja9!$C$21,Hoja9!$F$21,Hoja9!$I$21)</c:f>
              <c:numCache>
                <c:formatCode>General</c:formatCode>
                <c:ptCount val="3"/>
                <c:pt idx="0">
                  <c:v>300</c:v>
                </c:pt>
                <c:pt idx="1">
                  <c:v>300</c:v>
                </c:pt>
                <c:pt idx="2">
                  <c:v>300</c:v>
                </c:pt>
              </c:numCache>
            </c:numRef>
          </c:val>
          <c:extLst>
            <c:ext xmlns:c16="http://schemas.microsoft.com/office/drawing/2014/chart" uri="{C3380CC4-5D6E-409C-BE32-E72D297353CC}">
              <c16:uniqueId val="{00000007-0C3E-48FB-943C-BC7E38FA54F7}"/>
            </c:ext>
          </c:extLst>
        </c:ser>
        <c:ser>
          <c:idx val="8"/>
          <c:order val="8"/>
          <c:tx>
            <c:strRef>
              <c:f>Hoja9!$B$22</c:f>
              <c:strCache>
                <c:ptCount val="1"/>
                <c:pt idx="0">
                  <c:v>Septiembre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Hoja9!$C$22:$K$22</c15:sqref>
                  </c15:fullRef>
                </c:ext>
              </c:extLst>
              <c:f>(Hoja9!$C$22,Hoja9!$F$22,Hoja9!$I$22)</c:f>
              <c:numCache>
                <c:formatCode>General</c:formatCode>
                <c:ptCount val="3"/>
                <c:pt idx="0">
                  <c:v>390</c:v>
                </c:pt>
                <c:pt idx="1">
                  <c:v>465</c:v>
                </c:pt>
                <c:pt idx="2">
                  <c:v>495</c:v>
                </c:pt>
              </c:numCache>
            </c:numRef>
          </c:val>
          <c:extLst>
            <c:ext xmlns:c16="http://schemas.microsoft.com/office/drawing/2014/chart" uri="{C3380CC4-5D6E-409C-BE32-E72D297353CC}">
              <c16:uniqueId val="{00000008-0C3E-48FB-943C-BC7E38FA54F7}"/>
            </c:ext>
          </c:extLst>
        </c:ser>
        <c:ser>
          <c:idx val="9"/>
          <c:order val="9"/>
          <c:tx>
            <c:strRef>
              <c:f>Hoja9!$B$23</c:f>
              <c:strCache>
                <c:ptCount val="1"/>
                <c:pt idx="0">
                  <c:v>Octubre</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Hoja9!$C$23:$K$23</c15:sqref>
                  </c15:fullRef>
                </c:ext>
              </c:extLst>
              <c:f>(Hoja9!$C$23,Hoja9!$F$23,Hoja9!$I$23)</c:f>
              <c:numCache>
                <c:formatCode>General</c:formatCode>
                <c:ptCount val="3"/>
                <c:pt idx="0">
                  <c:v>505</c:v>
                </c:pt>
                <c:pt idx="1">
                  <c:v>436</c:v>
                </c:pt>
                <c:pt idx="2">
                  <c:v>450</c:v>
                </c:pt>
              </c:numCache>
            </c:numRef>
          </c:val>
          <c:extLst>
            <c:ext xmlns:c16="http://schemas.microsoft.com/office/drawing/2014/chart" uri="{C3380CC4-5D6E-409C-BE32-E72D297353CC}">
              <c16:uniqueId val="{00000009-0C3E-48FB-943C-BC7E38FA54F7}"/>
            </c:ext>
          </c:extLst>
        </c:ser>
        <c:ser>
          <c:idx val="10"/>
          <c:order val="10"/>
          <c:tx>
            <c:strRef>
              <c:f>Hoja9!$B$24</c:f>
              <c:strCache>
                <c:ptCount val="1"/>
                <c:pt idx="0">
                  <c:v>Noviembre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Hoja9!$C$24:$K$24</c15:sqref>
                  </c15:fullRef>
                </c:ext>
              </c:extLst>
              <c:f>(Hoja9!$C$24,Hoja9!$F$24,Hoja9!$I$24)</c:f>
              <c:numCache>
                <c:formatCode>General</c:formatCode>
                <c:ptCount val="3"/>
                <c:pt idx="0">
                  <c:v>390</c:v>
                </c:pt>
                <c:pt idx="1">
                  <c:v>390</c:v>
                </c:pt>
                <c:pt idx="2">
                  <c:v>435</c:v>
                </c:pt>
              </c:numCache>
            </c:numRef>
          </c:val>
          <c:extLst>
            <c:ext xmlns:c16="http://schemas.microsoft.com/office/drawing/2014/chart" uri="{C3380CC4-5D6E-409C-BE32-E72D297353CC}">
              <c16:uniqueId val="{0000000A-0C3E-48FB-943C-BC7E38FA54F7}"/>
            </c:ext>
          </c:extLst>
        </c:ser>
        <c:ser>
          <c:idx val="11"/>
          <c:order val="11"/>
          <c:tx>
            <c:strRef>
              <c:f>Hoja9!$B$25</c:f>
              <c:strCache>
                <c:ptCount val="1"/>
                <c:pt idx="0">
                  <c:v>Diciembre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Hoja9!$C$25:$K$25</c15:sqref>
                  </c15:fullRef>
                </c:ext>
              </c:extLst>
              <c:f>(Hoja9!$C$25,Hoja9!$F$25,Hoja9!$I$25)</c:f>
              <c:numCache>
                <c:formatCode>General</c:formatCode>
                <c:ptCount val="3"/>
                <c:pt idx="0">
                  <c:v>285</c:v>
                </c:pt>
                <c:pt idx="1">
                  <c:v>300</c:v>
                </c:pt>
                <c:pt idx="2">
                  <c:v>330</c:v>
                </c:pt>
              </c:numCache>
            </c:numRef>
          </c:val>
          <c:extLst>
            <c:ext xmlns:c16="http://schemas.microsoft.com/office/drawing/2014/chart" uri="{C3380CC4-5D6E-409C-BE32-E72D297353CC}">
              <c16:uniqueId val="{0000000B-0C3E-48FB-943C-BC7E38FA54F7}"/>
            </c:ext>
          </c:extLst>
        </c:ser>
        <c:dLbls>
          <c:showLegendKey val="0"/>
          <c:showVal val="0"/>
          <c:showCatName val="0"/>
          <c:showSerName val="0"/>
          <c:showPercent val="0"/>
          <c:showBubbleSize val="0"/>
        </c:dLbls>
        <c:gapWidth val="150"/>
        <c:axId val="1483910111"/>
        <c:axId val="1483905791"/>
      </c:barChart>
      <c:lineChart>
        <c:grouping val="standard"/>
        <c:varyColors val="0"/>
        <c:ser>
          <c:idx val="12"/>
          <c:order val="12"/>
          <c:tx>
            <c:strRef>
              <c:f>Hoja9!$B$26</c:f>
              <c:strCache>
                <c:ptCount val="1"/>
                <c:pt idx="0">
                  <c:v>Total Anual</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none"/>
          </c:marker>
          <c:cat>
            <c:multiLvlStrRef>
              <c:extLst>
                <c:ext xmlns:c15="http://schemas.microsoft.com/office/drawing/2012/chart" uri="{02D57815-91ED-43cb-92C2-25804820EDAC}">
                  <c15:fullRef>
                    <c15:sqref>Hoja9!$C$12:$K$13</c15:sqref>
                  </c15:fullRef>
                </c:ext>
              </c:extLst>
              <c:f>(Hoja9!$C$12:$C$13,Hoja9!$F$12:$F$13,Hoja9!$I$12:$I$13)</c:f>
              <c:multiLvlStrCache>
                <c:ptCount val="3"/>
                <c:lvl>
                  <c:pt idx="0">
                    <c:v>Ventas</c:v>
                  </c:pt>
                  <c:pt idx="1">
                    <c:v>Ventas</c:v>
                  </c:pt>
                  <c:pt idx="2">
                    <c:v>Ventas</c:v>
                  </c:pt>
                </c:lvl>
                <c:lvl>
                  <c:pt idx="0">
                    <c:v>AÑO 1 </c:v>
                  </c:pt>
                  <c:pt idx="1">
                    <c:v>AÑO 2 </c:v>
                  </c:pt>
                  <c:pt idx="2">
                    <c:v>AÑO 3 </c:v>
                  </c:pt>
                </c:lvl>
              </c:multiLvlStrCache>
            </c:multiLvlStrRef>
          </c:cat>
          <c:val>
            <c:numRef>
              <c:extLst>
                <c:ext xmlns:c15="http://schemas.microsoft.com/office/drawing/2012/chart" uri="{02D57815-91ED-43cb-92C2-25804820EDAC}">
                  <c15:fullRef>
                    <c15:sqref>Hoja9!$C$26:$K$26</c15:sqref>
                  </c15:fullRef>
                </c:ext>
              </c:extLst>
              <c:f>(Hoja9!$C$26,Hoja9!$F$26,Hoja9!$I$26)</c:f>
              <c:numCache>
                <c:formatCode>General</c:formatCode>
                <c:ptCount val="3"/>
                <c:pt idx="0">
                  <c:v>4525</c:v>
                </c:pt>
                <c:pt idx="1">
                  <c:v>4771</c:v>
                </c:pt>
                <c:pt idx="2">
                  <c:v>4965</c:v>
                </c:pt>
              </c:numCache>
            </c:numRef>
          </c:val>
          <c:smooth val="0"/>
          <c:extLst>
            <c:ext xmlns:c16="http://schemas.microsoft.com/office/drawing/2014/chart" uri="{C3380CC4-5D6E-409C-BE32-E72D297353CC}">
              <c16:uniqueId val="{0000000C-0C3E-48FB-943C-BC7E38FA54F7}"/>
            </c:ext>
          </c:extLst>
        </c:ser>
        <c:dLbls>
          <c:showLegendKey val="0"/>
          <c:showVal val="0"/>
          <c:showCatName val="0"/>
          <c:showSerName val="0"/>
          <c:showPercent val="0"/>
          <c:showBubbleSize val="0"/>
        </c:dLbls>
        <c:marker val="1"/>
        <c:smooth val="0"/>
        <c:axId val="1483910111"/>
        <c:axId val="1483905791"/>
      </c:lineChart>
      <c:catAx>
        <c:axId val="1483910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483905791"/>
        <c:crosses val="autoZero"/>
        <c:auto val="1"/>
        <c:lblAlgn val="ctr"/>
        <c:lblOffset val="100"/>
        <c:noMultiLvlLbl val="0"/>
      </c:catAx>
      <c:valAx>
        <c:axId val="1483905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483910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Porcentajes Medios de Venta Durante un Año.</a:t>
            </a:r>
          </a:p>
        </c:rich>
      </c:tx>
      <c:layout>
        <c:manualLayout>
          <c:xMode val="edge"/>
          <c:yMode val="edge"/>
          <c:x val="0.12890266841644796"/>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2"/>
          <c:order val="2"/>
          <c:tx>
            <c:strRef>
              <c:f>Hoja9!$E$12:$E$13</c:f>
              <c:strCache>
                <c:ptCount val="2"/>
                <c:pt idx="0">
                  <c:v>AÑO 1 </c:v>
                </c:pt>
                <c:pt idx="1">
                  <c:v>%</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Hoja9!$E$14:$E$26</c:f>
              <c:numCache>
                <c:formatCode>0.00%</c:formatCode>
                <c:ptCount val="13"/>
                <c:pt idx="0">
                  <c:v>2412.5</c:v>
                </c:pt>
                <c:pt idx="1">
                  <c:v>315</c:v>
                </c:pt>
                <c:pt idx="2">
                  <c:v>420</c:v>
                </c:pt>
                <c:pt idx="3">
                  <c:v>450</c:v>
                </c:pt>
                <c:pt idx="4">
                  <c:v>405</c:v>
                </c:pt>
                <c:pt idx="5">
                  <c:v>375</c:v>
                </c:pt>
                <c:pt idx="6">
                  <c:v>390</c:v>
                </c:pt>
                <c:pt idx="7">
                  <c:v>300</c:v>
                </c:pt>
                <c:pt idx="8">
                  <c:v>390</c:v>
                </c:pt>
                <c:pt idx="9">
                  <c:v>505</c:v>
                </c:pt>
                <c:pt idx="10">
                  <c:v>390</c:v>
                </c:pt>
                <c:pt idx="11">
                  <c:v>285</c:v>
                </c:pt>
                <c:pt idx="12" formatCode="General">
                  <c:v>6637.5</c:v>
                </c:pt>
              </c:numCache>
            </c:numRef>
          </c:val>
          <c:extLst>
            <c:ext xmlns:c16="http://schemas.microsoft.com/office/drawing/2014/chart" uri="{C3380CC4-5D6E-409C-BE32-E72D297353CC}">
              <c16:uniqueId val="{00000002-AD81-4E87-A791-AF180FE9570A}"/>
            </c:ext>
          </c:extLst>
        </c:ser>
        <c:ser>
          <c:idx val="5"/>
          <c:order val="5"/>
          <c:tx>
            <c:strRef>
              <c:f>Hoja9!$H$12:$H$13</c:f>
              <c:strCache>
                <c:ptCount val="2"/>
                <c:pt idx="0">
                  <c:v>AÑO 2 </c:v>
                </c:pt>
                <c:pt idx="1">
                  <c:v>%</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Hoja9!$H$14:$H$26</c:f>
              <c:numCache>
                <c:formatCode>General</c:formatCode>
                <c:ptCount val="13"/>
                <c:pt idx="0">
                  <c:v>2528</c:v>
                </c:pt>
                <c:pt idx="1">
                  <c:v>345</c:v>
                </c:pt>
                <c:pt idx="2">
                  <c:v>450</c:v>
                </c:pt>
                <c:pt idx="3">
                  <c:v>465</c:v>
                </c:pt>
                <c:pt idx="4">
                  <c:v>480</c:v>
                </c:pt>
                <c:pt idx="5">
                  <c:v>420</c:v>
                </c:pt>
                <c:pt idx="6">
                  <c:v>435</c:v>
                </c:pt>
                <c:pt idx="7">
                  <c:v>300</c:v>
                </c:pt>
                <c:pt idx="8">
                  <c:v>465</c:v>
                </c:pt>
                <c:pt idx="9">
                  <c:v>436</c:v>
                </c:pt>
                <c:pt idx="10">
                  <c:v>390</c:v>
                </c:pt>
                <c:pt idx="11">
                  <c:v>300</c:v>
                </c:pt>
                <c:pt idx="12">
                  <c:v>7014</c:v>
                </c:pt>
              </c:numCache>
            </c:numRef>
          </c:val>
          <c:extLst>
            <c:ext xmlns:c16="http://schemas.microsoft.com/office/drawing/2014/chart" uri="{C3380CC4-5D6E-409C-BE32-E72D297353CC}">
              <c16:uniqueId val="{00000005-AD81-4E87-A791-AF180FE9570A}"/>
            </c:ext>
          </c:extLst>
        </c:ser>
        <c:ser>
          <c:idx val="8"/>
          <c:order val="8"/>
          <c:tx>
            <c:strRef>
              <c:f>Hoja9!$K$12:$K$13</c:f>
              <c:strCache>
                <c:ptCount val="2"/>
                <c:pt idx="0">
                  <c:v>AÑO 3 </c:v>
                </c:pt>
                <c:pt idx="1">
                  <c:v>%</c:v>
                </c:pt>
              </c:strCache>
            </c:strRef>
          </c:tx>
          <c:spPr>
            <a:solidFill>
              <a:schemeClr val="accent3">
                <a:lumMod val="60000"/>
                <a:alpha val="85000"/>
              </a:schemeClr>
            </a:solidFill>
            <a:ln w="9525" cap="flat" cmpd="sng" algn="ctr">
              <a:solidFill>
                <a:schemeClr val="accent3">
                  <a:lumMod val="60000"/>
                  <a:lumMod val="75000"/>
                </a:schemeClr>
              </a:solidFill>
              <a:round/>
            </a:ln>
            <a:effectLst/>
            <a:sp3d contourW="9525">
              <a:contourClr>
                <a:schemeClr val="accent3">
                  <a:lumMod val="60000"/>
                  <a:lumMod val="75000"/>
                </a:schemeClr>
              </a:contourClr>
            </a:sp3d>
          </c:spPr>
          <c:invertIfNegative val="0"/>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Hoja9!$K$14:$K$26</c:f>
              <c:numCache>
                <c:formatCode>General</c:formatCode>
                <c:ptCount val="13"/>
                <c:pt idx="0">
                  <c:v>2662.5</c:v>
                </c:pt>
                <c:pt idx="1">
                  <c:v>360</c:v>
                </c:pt>
                <c:pt idx="2">
                  <c:v>465</c:v>
                </c:pt>
                <c:pt idx="3">
                  <c:v>480</c:v>
                </c:pt>
                <c:pt idx="4">
                  <c:v>450</c:v>
                </c:pt>
                <c:pt idx="5">
                  <c:v>420</c:v>
                </c:pt>
                <c:pt idx="6">
                  <c:v>420</c:v>
                </c:pt>
                <c:pt idx="7">
                  <c:v>300</c:v>
                </c:pt>
                <c:pt idx="8">
                  <c:v>495</c:v>
                </c:pt>
                <c:pt idx="9">
                  <c:v>450</c:v>
                </c:pt>
                <c:pt idx="10">
                  <c:v>435</c:v>
                </c:pt>
                <c:pt idx="11">
                  <c:v>330</c:v>
                </c:pt>
                <c:pt idx="12">
                  <c:v>7267.5</c:v>
                </c:pt>
              </c:numCache>
            </c:numRef>
          </c:val>
          <c:extLst>
            <c:ext xmlns:c16="http://schemas.microsoft.com/office/drawing/2014/chart" uri="{C3380CC4-5D6E-409C-BE32-E72D297353CC}">
              <c16:uniqueId val="{00000008-AD81-4E87-A791-AF180FE9570A}"/>
            </c:ext>
          </c:extLst>
        </c:ser>
        <c:dLbls>
          <c:showLegendKey val="0"/>
          <c:showVal val="0"/>
          <c:showCatName val="0"/>
          <c:showSerName val="0"/>
          <c:showPercent val="0"/>
          <c:showBubbleSize val="0"/>
        </c:dLbls>
        <c:gapWidth val="65"/>
        <c:shape val="box"/>
        <c:axId val="1483822751"/>
        <c:axId val="1483819871"/>
        <c:axId val="178942431"/>
        <c:extLst>
          <c:ext xmlns:c15="http://schemas.microsoft.com/office/drawing/2012/chart" uri="{02D57815-91ED-43cb-92C2-25804820EDAC}">
            <c15:filteredBarSeries>
              <c15:ser>
                <c:idx val="0"/>
                <c:order val="0"/>
                <c:tx>
                  <c:strRef>
                    <c:extLst>
                      <c:ext uri="{02D57815-91ED-43cb-92C2-25804820EDAC}">
                        <c15:formulaRef>
                          <c15:sqref>Hoja9!$C$12:$C$13</c15:sqref>
                        </c15:formulaRef>
                      </c:ext>
                    </c:extLst>
                    <c:strCache>
                      <c:ptCount val="2"/>
                      <c:pt idx="0">
                        <c:v>AÑO 1 </c:v>
                      </c:pt>
                      <c:pt idx="1">
                        <c:v>Ventas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extLst>
                      <c:ext uri="{02D57815-91ED-43cb-92C2-25804820EDAC}">
                        <c15:formulaRef>
                          <c15:sqref>Hoja9!$B$14:$B$26</c15:sqref>
                        </c15:formulaRef>
                      </c:ext>
                    </c:extLst>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extLst>
                      <c:ext uri="{02D57815-91ED-43cb-92C2-25804820EDAC}">
                        <c15:formulaRef>
                          <c15:sqref>Hoja9!$C$14:$C$26</c15:sqref>
                        </c15:formulaRef>
                      </c:ext>
                    </c:extLst>
                    <c:numCache>
                      <c:formatCode>General</c:formatCode>
                      <c:ptCount val="13"/>
                      <c:pt idx="0">
                        <c:v>300</c:v>
                      </c:pt>
                      <c:pt idx="1">
                        <c:v>315</c:v>
                      </c:pt>
                      <c:pt idx="2">
                        <c:v>420</c:v>
                      </c:pt>
                      <c:pt idx="3">
                        <c:v>450</c:v>
                      </c:pt>
                      <c:pt idx="4">
                        <c:v>405</c:v>
                      </c:pt>
                      <c:pt idx="5">
                        <c:v>375</c:v>
                      </c:pt>
                      <c:pt idx="6">
                        <c:v>390</c:v>
                      </c:pt>
                      <c:pt idx="7">
                        <c:v>300</c:v>
                      </c:pt>
                      <c:pt idx="8">
                        <c:v>390</c:v>
                      </c:pt>
                      <c:pt idx="9">
                        <c:v>505</c:v>
                      </c:pt>
                      <c:pt idx="10">
                        <c:v>390</c:v>
                      </c:pt>
                      <c:pt idx="11">
                        <c:v>285</c:v>
                      </c:pt>
                      <c:pt idx="12">
                        <c:v>4525</c:v>
                      </c:pt>
                    </c:numCache>
                  </c:numRef>
                </c:val>
                <c:extLst>
                  <c:ext xmlns:c16="http://schemas.microsoft.com/office/drawing/2014/chart" uri="{C3380CC4-5D6E-409C-BE32-E72D297353CC}">
                    <c16:uniqueId val="{00000000-AD81-4E87-A791-AF180FE9570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Hoja9!$D$12:$D$13</c15:sqref>
                        </c15:formulaRef>
                      </c:ext>
                    </c:extLst>
                    <c:strCache>
                      <c:ptCount val="2"/>
                      <c:pt idx="0">
                        <c:v>AÑO 1 </c:v>
                      </c:pt>
                      <c:pt idx="1">
                        <c:v>TAM</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extLst xmlns:c15="http://schemas.microsoft.com/office/drawing/2012/chart">
                      <c:ext xmlns:c15="http://schemas.microsoft.com/office/drawing/2012/chart" uri="{02D57815-91ED-43cb-92C2-25804820EDAC}">
                        <c15:formulaRef>
                          <c15:sqref>Hoja9!$B$14:$B$26</c15:sqref>
                        </c15:formulaRef>
                      </c:ext>
                    </c:extLst>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extLst xmlns:c15="http://schemas.microsoft.com/office/drawing/2012/chart">
                      <c:ext xmlns:c15="http://schemas.microsoft.com/office/drawing/2012/chart" uri="{02D57815-91ED-43cb-92C2-25804820EDAC}">
                        <c15:formulaRef>
                          <c15:sqref>Hoja9!$D$14:$D$26</c15:sqref>
                        </c15:formulaRef>
                      </c:ext>
                    </c:extLst>
                    <c:numCache>
                      <c:formatCode>General</c:formatCode>
                      <c:ptCount val="13"/>
                      <c:pt idx="0">
                        <c:v>6.6298342541436464</c:v>
                      </c:pt>
                      <c:pt idx="1">
                        <c:v>6.9613259668508292</c:v>
                      </c:pt>
                      <c:pt idx="2">
                        <c:v>9.2817679558011061</c:v>
                      </c:pt>
                      <c:pt idx="3">
                        <c:v>9.94475138121547</c:v>
                      </c:pt>
                      <c:pt idx="4">
                        <c:v>8.9502762430939224</c:v>
                      </c:pt>
                      <c:pt idx="5">
                        <c:v>8.2872928176795568</c:v>
                      </c:pt>
                      <c:pt idx="6">
                        <c:v>8.6187845303867405</c:v>
                      </c:pt>
                      <c:pt idx="7">
                        <c:v>6.6298342541436464</c:v>
                      </c:pt>
                      <c:pt idx="8">
                        <c:v>8.6187845303867405</c:v>
                      </c:pt>
                      <c:pt idx="9">
                        <c:v>11.160220994475138</c:v>
                      </c:pt>
                      <c:pt idx="10">
                        <c:v>8.6187845303867405</c:v>
                      </c:pt>
                      <c:pt idx="11">
                        <c:v>6.2983425414364635</c:v>
                      </c:pt>
                      <c:pt idx="12">
                        <c:v>100.00000000000001</c:v>
                      </c:pt>
                    </c:numCache>
                  </c:numRef>
                </c:val>
                <c:extLst xmlns:c15="http://schemas.microsoft.com/office/drawing/2012/chart">
                  <c:ext xmlns:c16="http://schemas.microsoft.com/office/drawing/2014/chart" uri="{C3380CC4-5D6E-409C-BE32-E72D297353CC}">
                    <c16:uniqueId val="{00000001-AD81-4E87-A791-AF180FE9570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Hoja9!$F$12:$F$13</c15:sqref>
                        </c15:formulaRef>
                      </c:ext>
                    </c:extLst>
                    <c:strCache>
                      <c:ptCount val="2"/>
                      <c:pt idx="0">
                        <c:v>AÑO 2 </c:v>
                      </c:pt>
                      <c:pt idx="1">
                        <c:v>Ventas</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extLst xmlns:c15="http://schemas.microsoft.com/office/drawing/2012/chart">
                      <c:ext xmlns:c15="http://schemas.microsoft.com/office/drawing/2012/chart" uri="{02D57815-91ED-43cb-92C2-25804820EDAC}">
                        <c15:formulaRef>
                          <c15:sqref>Hoja9!$B$14:$B$26</c15:sqref>
                        </c15:formulaRef>
                      </c:ext>
                    </c:extLst>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extLst xmlns:c15="http://schemas.microsoft.com/office/drawing/2012/chart">
                      <c:ext xmlns:c15="http://schemas.microsoft.com/office/drawing/2012/chart" uri="{02D57815-91ED-43cb-92C2-25804820EDAC}">
                        <c15:formulaRef>
                          <c15:sqref>Hoja9!$F$14:$F$26</c15:sqref>
                        </c15:formulaRef>
                      </c:ext>
                    </c:extLst>
                    <c:numCache>
                      <c:formatCode>General</c:formatCode>
                      <c:ptCount val="13"/>
                      <c:pt idx="0">
                        <c:v>285</c:v>
                      </c:pt>
                      <c:pt idx="1">
                        <c:v>345</c:v>
                      </c:pt>
                      <c:pt idx="2">
                        <c:v>450</c:v>
                      </c:pt>
                      <c:pt idx="3">
                        <c:v>465</c:v>
                      </c:pt>
                      <c:pt idx="4">
                        <c:v>480</c:v>
                      </c:pt>
                      <c:pt idx="5">
                        <c:v>420</c:v>
                      </c:pt>
                      <c:pt idx="6">
                        <c:v>435</c:v>
                      </c:pt>
                      <c:pt idx="7">
                        <c:v>300</c:v>
                      </c:pt>
                      <c:pt idx="8">
                        <c:v>465</c:v>
                      </c:pt>
                      <c:pt idx="9">
                        <c:v>436</c:v>
                      </c:pt>
                      <c:pt idx="10">
                        <c:v>390</c:v>
                      </c:pt>
                      <c:pt idx="11">
                        <c:v>300</c:v>
                      </c:pt>
                      <c:pt idx="12">
                        <c:v>4771</c:v>
                      </c:pt>
                    </c:numCache>
                  </c:numRef>
                </c:val>
                <c:extLst xmlns:c15="http://schemas.microsoft.com/office/drawing/2012/chart">
                  <c:ext xmlns:c16="http://schemas.microsoft.com/office/drawing/2014/chart" uri="{C3380CC4-5D6E-409C-BE32-E72D297353CC}">
                    <c16:uniqueId val="{00000003-AD81-4E87-A791-AF180FE9570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Hoja9!$G$12:$G$13</c15:sqref>
                        </c15:formulaRef>
                      </c:ext>
                    </c:extLst>
                    <c:strCache>
                      <c:ptCount val="2"/>
                      <c:pt idx="0">
                        <c:v>AÑO 2 </c:v>
                      </c:pt>
                      <c:pt idx="1">
                        <c:v>TAM</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extLst xmlns:c15="http://schemas.microsoft.com/office/drawing/2012/chart">
                      <c:ext xmlns:c15="http://schemas.microsoft.com/office/drawing/2012/chart" uri="{02D57815-91ED-43cb-92C2-25804820EDAC}">
                        <c15:formulaRef>
                          <c15:sqref>Hoja9!$B$14:$B$26</c15:sqref>
                        </c15:formulaRef>
                      </c:ext>
                    </c:extLst>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extLst xmlns:c15="http://schemas.microsoft.com/office/drawing/2012/chart">
                      <c:ext xmlns:c15="http://schemas.microsoft.com/office/drawing/2012/chart" uri="{02D57815-91ED-43cb-92C2-25804820EDAC}">
                        <c15:formulaRef>
                          <c15:sqref>Hoja9!$G$14:$G$26</c15:sqref>
                        </c15:formulaRef>
                      </c:ext>
                    </c:extLst>
                    <c:numCache>
                      <c:formatCode>General</c:formatCode>
                      <c:ptCount val="13"/>
                      <c:pt idx="0">
                        <c:v>5.9735904422552923E-2</c:v>
                      </c:pt>
                      <c:pt idx="1">
                        <c:v>7.2311884300985119E-2</c:v>
                      </c:pt>
                      <c:pt idx="2">
                        <c:v>9.4319849088241453E-2</c:v>
                      </c:pt>
                      <c:pt idx="3">
                        <c:v>9.7463844057849511E-2</c:v>
                      </c:pt>
                      <c:pt idx="4">
                        <c:v>0.10060783902745755</c:v>
                      </c:pt>
                      <c:pt idx="5">
                        <c:v>8.8031859149025365E-2</c:v>
                      </c:pt>
                      <c:pt idx="6">
                        <c:v>9.1175854118633409E-2</c:v>
                      </c:pt>
                      <c:pt idx="7">
                        <c:v>6.2879899392160973E-2</c:v>
                      </c:pt>
                      <c:pt idx="8">
                        <c:v>9.7463844057849511E-2</c:v>
                      </c:pt>
                      <c:pt idx="9">
                        <c:v>9.1385453783273951E-2</c:v>
                      </c:pt>
                      <c:pt idx="10">
                        <c:v>8.1743869209809264E-2</c:v>
                      </c:pt>
                      <c:pt idx="11">
                        <c:v>6.2879899392160973E-2</c:v>
                      </c:pt>
                      <c:pt idx="12">
                        <c:v>1</c:v>
                      </c:pt>
                    </c:numCache>
                  </c:numRef>
                </c:val>
                <c:extLst xmlns:c15="http://schemas.microsoft.com/office/drawing/2012/chart">
                  <c:ext xmlns:c16="http://schemas.microsoft.com/office/drawing/2014/chart" uri="{C3380CC4-5D6E-409C-BE32-E72D297353CC}">
                    <c16:uniqueId val="{00000004-AD81-4E87-A791-AF180FE9570A}"/>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Hoja9!$I$12:$I$13</c15:sqref>
                        </c15:formulaRef>
                      </c:ext>
                    </c:extLst>
                    <c:strCache>
                      <c:ptCount val="2"/>
                      <c:pt idx="0">
                        <c:v>AÑO 3 </c:v>
                      </c:pt>
                      <c:pt idx="1">
                        <c:v>Ventas</c:v>
                      </c:pt>
                    </c:strCache>
                  </c:strRef>
                </c:tx>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invertIfNegative val="0"/>
                <c:cat>
                  <c:strRef>
                    <c:extLst xmlns:c15="http://schemas.microsoft.com/office/drawing/2012/chart">
                      <c:ext xmlns:c15="http://schemas.microsoft.com/office/drawing/2012/chart" uri="{02D57815-91ED-43cb-92C2-25804820EDAC}">
                        <c15:formulaRef>
                          <c15:sqref>Hoja9!$B$14:$B$26</c15:sqref>
                        </c15:formulaRef>
                      </c:ext>
                    </c:extLst>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extLst xmlns:c15="http://schemas.microsoft.com/office/drawing/2012/chart">
                      <c:ext xmlns:c15="http://schemas.microsoft.com/office/drawing/2012/chart" uri="{02D57815-91ED-43cb-92C2-25804820EDAC}">
                        <c15:formulaRef>
                          <c15:sqref>Hoja9!$I$14:$I$26</c15:sqref>
                        </c15:formulaRef>
                      </c:ext>
                    </c:extLst>
                    <c:numCache>
                      <c:formatCode>General</c:formatCode>
                      <c:ptCount val="13"/>
                      <c:pt idx="0">
                        <c:v>360</c:v>
                      </c:pt>
                      <c:pt idx="1">
                        <c:v>360</c:v>
                      </c:pt>
                      <c:pt idx="2">
                        <c:v>465</c:v>
                      </c:pt>
                      <c:pt idx="3">
                        <c:v>480</c:v>
                      </c:pt>
                      <c:pt idx="4">
                        <c:v>450</c:v>
                      </c:pt>
                      <c:pt idx="5">
                        <c:v>420</c:v>
                      </c:pt>
                      <c:pt idx="6">
                        <c:v>420</c:v>
                      </c:pt>
                      <c:pt idx="7">
                        <c:v>300</c:v>
                      </c:pt>
                      <c:pt idx="8">
                        <c:v>495</c:v>
                      </c:pt>
                      <c:pt idx="9">
                        <c:v>450</c:v>
                      </c:pt>
                      <c:pt idx="10">
                        <c:v>435</c:v>
                      </c:pt>
                      <c:pt idx="11">
                        <c:v>330</c:v>
                      </c:pt>
                      <c:pt idx="12">
                        <c:v>4965</c:v>
                      </c:pt>
                    </c:numCache>
                  </c:numRef>
                </c:val>
                <c:extLst xmlns:c15="http://schemas.microsoft.com/office/drawing/2012/chart">
                  <c:ext xmlns:c16="http://schemas.microsoft.com/office/drawing/2014/chart" uri="{C3380CC4-5D6E-409C-BE32-E72D297353CC}">
                    <c16:uniqueId val="{00000006-AD81-4E87-A791-AF180FE9570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Hoja9!$J$12:$J$13</c15:sqref>
                        </c15:formulaRef>
                      </c:ext>
                    </c:extLst>
                    <c:strCache>
                      <c:ptCount val="2"/>
                      <c:pt idx="0">
                        <c:v>AÑO 3 </c:v>
                      </c:pt>
                      <c:pt idx="1">
                        <c:v>TAM</c:v>
                      </c:pt>
                    </c:strCache>
                  </c:strRef>
                </c:tx>
                <c:spPr>
                  <a:solidFill>
                    <a:schemeClr val="accent2">
                      <a:lumMod val="60000"/>
                      <a:alpha val="85000"/>
                    </a:schemeClr>
                  </a:solidFill>
                  <a:ln w="9525" cap="flat" cmpd="sng" algn="ctr">
                    <a:solidFill>
                      <a:schemeClr val="accent2">
                        <a:lumMod val="60000"/>
                        <a:lumMod val="75000"/>
                      </a:schemeClr>
                    </a:solidFill>
                    <a:round/>
                  </a:ln>
                  <a:effectLst/>
                  <a:sp3d contourW="9525">
                    <a:contourClr>
                      <a:schemeClr val="accent2">
                        <a:lumMod val="60000"/>
                        <a:lumMod val="75000"/>
                      </a:schemeClr>
                    </a:contourClr>
                  </a:sp3d>
                </c:spPr>
                <c:invertIfNegative val="0"/>
                <c:cat>
                  <c:strRef>
                    <c:extLst xmlns:c15="http://schemas.microsoft.com/office/drawing/2012/chart">
                      <c:ext xmlns:c15="http://schemas.microsoft.com/office/drawing/2012/chart" uri="{02D57815-91ED-43cb-92C2-25804820EDAC}">
                        <c15:formulaRef>
                          <c15:sqref>Hoja9!$B$14:$B$26</c15:sqref>
                        </c15:formulaRef>
                      </c:ext>
                    </c:extLst>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extLst xmlns:c15="http://schemas.microsoft.com/office/drawing/2012/chart">
                      <c:ext xmlns:c15="http://schemas.microsoft.com/office/drawing/2012/chart" uri="{02D57815-91ED-43cb-92C2-25804820EDAC}">
                        <c15:formulaRef>
                          <c15:sqref>Hoja9!$J$14:$J$26</c15:sqref>
                        </c15:formulaRef>
                      </c:ext>
                    </c:extLst>
                    <c:numCache>
                      <c:formatCode>General</c:formatCode>
                      <c:ptCount val="13"/>
                      <c:pt idx="0">
                        <c:v>7.2507552870090641E-2</c:v>
                      </c:pt>
                      <c:pt idx="1">
                        <c:v>7.2507552870090641E-2</c:v>
                      </c:pt>
                      <c:pt idx="2">
                        <c:v>9.3655589123867067E-2</c:v>
                      </c:pt>
                      <c:pt idx="3">
                        <c:v>9.6676737160120846E-2</c:v>
                      </c:pt>
                      <c:pt idx="4">
                        <c:v>9.0634441087613288E-2</c:v>
                      </c:pt>
                      <c:pt idx="5">
                        <c:v>8.4592145015105744E-2</c:v>
                      </c:pt>
                      <c:pt idx="6">
                        <c:v>8.4592145015105744E-2</c:v>
                      </c:pt>
                      <c:pt idx="7">
                        <c:v>6.0422960725075532E-2</c:v>
                      </c:pt>
                      <c:pt idx="8">
                        <c:v>9.9697885196374625E-2</c:v>
                      </c:pt>
                      <c:pt idx="9">
                        <c:v>9.0634441087613288E-2</c:v>
                      </c:pt>
                      <c:pt idx="10">
                        <c:v>8.7613293051359523E-2</c:v>
                      </c:pt>
                      <c:pt idx="11">
                        <c:v>6.6465256797583083E-2</c:v>
                      </c:pt>
                      <c:pt idx="12">
                        <c:v>1</c:v>
                      </c:pt>
                    </c:numCache>
                  </c:numRef>
                </c:val>
                <c:extLst xmlns:c15="http://schemas.microsoft.com/office/drawing/2012/chart">
                  <c:ext xmlns:c16="http://schemas.microsoft.com/office/drawing/2014/chart" uri="{C3380CC4-5D6E-409C-BE32-E72D297353CC}">
                    <c16:uniqueId val="{00000007-AD81-4E87-A791-AF180FE9570A}"/>
                  </c:ext>
                </c:extLst>
              </c15:ser>
            </c15:filteredBarSeries>
          </c:ext>
        </c:extLst>
      </c:bar3DChart>
      <c:catAx>
        <c:axId val="1483822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483819871"/>
        <c:crosses val="autoZero"/>
        <c:auto val="1"/>
        <c:lblAlgn val="ctr"/>
        <c:lblOffset val="100"/>
        <c:noMultiLvlLbl val="0"/>
      </c:catAx>
      <c:valAx>
        <c:axId val="1483819871"/>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483822751"/>
        <c:crosses val="autoZero"/>
        <c:crossBetween val="between"/>
      </c:valAx>
      <c:serAx>
        <c:axId val="1789424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483819871"/>
        <c:crosses val="autoZero"/>
      </c:ser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TAM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Hoja9!$B$14</c:f>
              <c:strCache>
                <c:ptCount val="1"/>
                <c:pt idx="0">
                  <c:v>Enero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Hoja9!$C$14:$K$14</c15:sqref>
                  </c15:fullRef>
                </c:ext>
              </c:extLst>
              <c:f>(Hoja9!$D$14,Hoja9!$G$14,Hoja9!$J$14)</c:f>
              <c:numCache>
                <c:formatCode>General</c:formatCode>
                <c:ptCount val="3"/>
                <c:pt idx="0">
                  <c:v>6.6298342541436464</c:v>
                </c:pt>
                <c:pt idx="1">
                  <c:v>5.9735904422552923E-2</c:v>
                </c:pt>
                <c:pt idx="2">
                  <c:v>7.2507552870090641E-2</c:v>
                </c:pt>
              </c:numCache>
            </c:numRef>
          </c:val>
          <c:extLst>
            <c:ext xmlns:c16="http://schemas.microsoft.com/office/drawing/2014/chart" uri="{C3380CC4-5D6E-409C-BE32-E72D297353CC}">
              <c16:uniqueId val="{00000000-C12D-449C-9745-534E9BF48507}"/>
            </c:ext>
          </c:extLst>
        </c:ser>
        <c:ser>
          <c:idx val="1"/>
          <c:order val="1"/>
          <c:tx>
            <c:strRef>
              <c:f>Hoja9!$B$15</c:f>
              <c:strCache>
                <c:ptCount val="1"/>
                <c:pt idx="0">
                  <c:v>Febrero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Hoja9!$C$15:$K$15</c15:sqref>
                  </c15:fullRef>
                </c:ext>
              </c:extLst>
              <c:f>(Hoja9!$D$15,Hoja9!$G$15,Hoja9!$J$15)</c:f>
              <c:numCache>
                <c:formatCode>General</c:formatCode>
                <c:ptCount val="3"/>
                <c:pt idx="0">
                  <c:v>6.9613259668508292</c:v>
                </c:pt>
                <c:pt idx="1">
                  <c:v>7.2311884300985119E-2</c:v>
                </c:pt>
                <c:pt idx="2">
                  <c:v>7.2507552870090641E-2</c:v>
                </c:pt>
              </c:numCache>
            </c:numRef>
          </c:val>
          <c:extLst>
            <c:ext xmlns:c16="http://schemas.microsoft.com/office/drawing/2014/chart" uri="{C3380CC4-5D6E-409C-BE32-E72D297353CC}">
              <c16:uniqueId val="{00000001-C12D-449C-9745-534E9BF48507}"/>
            </c:ext>
          </c:extLst>
        </c:ser>
        <c:ser>
          <c:idx val="2"/>
          <c:order val="2"/>
          <c:tx>
            <c:strRef>
              <c:f>Hoja9!$B$16</c:f>
              <c:strCache>
                <c:ptCount val="1"/>
                <c:pt idx="0">
                  <c:v>Marzo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Hoja9!$C$16:$K$16</c15:sqref>
                  </c15:fullRef>
                </c:ext>
              </c:extLst>
              <c:f>(Hoja9!$D$16,Hoja9!$G$16,Hoja9!$J$16)</c:f>
              <c:numCache>
                <c:formatCode>General</c:formatCode>
                <c:ptCount val="3"/>
                <c:pt idx="0">
                  <c:v>9.2817679558011061</c:v>
                </c:pt>
                <c:pt idx="1">
                  <c:v>9.4319849088241453E-2</c:v>
                </c:pt>
                <c:pt idx="2">
                  <c:v>9.3655589123867067E-2</c:v>
                </c:pt>
              </c:numCache>
            </c:numRef>
          </c:val>
          <c:extLst>
            <c:ext xmlns:c16="http://schemas.microsoft.com/office/drawing/2014/chart" uri="{C3380CC4-5D6E-409C-BE32-E72D297353CC}">
              <c16:uniqueId val="{00000002-C12D-449C-9745-534E9BF48507}"/>
            </c:ext>
          </c:extLst>
        </c:ser>
        <c:ser>
          <c:idx val="3"/>
          <c:order val="3"/>
          <c:tx>
            <c:strRef>
              <c:f>Hoja9!$B$17</c:f>
              <c:strCache>
                <c:ptCount val="1"/>
                <c:pt idx="0">
                  <c:v>Abril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Hoja9!$C$17:$K$17</c15:sqref>
                  </c15:fullRef>
                </c:ext>
              </c:extLst>
              <c:f>(Hoja9!$D$17,Hoja9!$G$17,Hoja9!$J$17)</c:f>
              <c:numCache>
                <c:formatCode>General</c:formatCode>
                <c:ptCount val="3"/>
                <c:pt idx="0">
                  <c:v>9.94475138121547</c:v>
                </c:pt>
                <c:pt idx="1">
                  <c:v>9.7463844057849511E-2</c:v>
                </c:pt>
                <c:pt idx="2">
                  <c:v>9.6676737160120846E-2</c:v>
                </c:pt>
              </c:numCache>
            </c:numRef>
          </c:val>
          <c:extLst>
            <c:ext xmlns:c16="http://schemas.microsoft.com/office/drawing/2014/chart" uri="{C3380CC4-5D6E-409C-BE32-E72D297353CC}">
              <c16:uniqueId val="{00000003-C12D-449C-9745-534E9BF48507}"/>
            </c:ext>
          </c:extLst>
        </c:ser>
        <c:ser>
          <c:idx val="4"/>
          <c:order val="4"/>
          <c:tx>
            <c:strRef>
              <c:f>Hoja9!$B$18</c:f>
              <c:strCache>
                <c:ptCount val="1"/>
                <c:pt idx="0">
                  <c:v>Mayo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Hoja9!$C$18:$K$18</c15:sqref>
                  </c15:fullRef>
                </c:ext>
              </c:extLst>
              <c:f>(Hoja9!$D$18,Hoja9!$G$18,Hoja9!$J$18)</c:f>
              <c:numCache>
                <c:formatCode>General</c:formatCode>
                <c:ptCount val="3"/>
                <c:pt idx="0">
                  <c:v>8.9502762430939224</c:v>
                </c:pt>
                <c:pt idx="1">
                  <c:v>0.10060783902745755</c:v>
                </c:pt>
                <c:pt idx="2">
                  <c:v>9.0634441087613288E-2</c:v>
                </c:pt>
              </c:numCache>
            </c:numRef>
          </c:val>
          <c:extLst>
            <c:ext xmlns:c16="http://schemas.microsoft.com/office/drawing/2014/chart" uri="{C3380CC4-5D6E-409C-BE32-E72D297353CC}">
              <c16:uniqueId val="{00000004-C12D-449C-9745-534E9BF48507}"/>
            </c:ext>
          </c:extLst>
        </c:ser>
        <c:ser>
          <c:idx val="5"/>
          <c:order val="5"/>
          <c:tx>
            <c:strRef>
              <c:f>Hoja9!$B$19</c:f>
              <c:strCache>
                <c:ptCount val="1"/>
                <c:pt idx="0">
                  <c:v>Junio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Hoja9!$C$19:$K$19</c15:sqref>
                  </c15:fullRef>
                </c:ext>
              </c:extLst>
              <c:f>(Hoja9!$D$19,Hoja9!$G$19,Hoja9!$J$19)</c:f>
              <c:numCache>
                <c:formatCode>General</c:formatCode>
                <c:ptCount val="3"/>
                <c:pt idx="0">
                  <c:v>8.2872928176795568</c:v>
                </c:pt>
                <c:pt idx="1">
                  <c:v>8.8031859149025365E-2</c:v>
                </c:pt>
                <c:pt idx="2">
                  <c:v>8.4592145015105744E-2</c:v>
                </c:pt>
              </c:numCache>
            </c:numRef>
          </c:val>
          <c:extLst>
            <c:ext xmlns:c16="http://schemas.microsoft.com/office/drawing/2014/chart" uri="{C3380CC4-5D6E-409C-BE32-E72D297353CC}">
              <c16:uniqueId val="{00000005-C12D-449C-9745-534E9BF48507}"/>
            </c:ext>
          </c:extLst>
        </c:ser>
        <c:ser>
          <c:idx val="6"/>
          <c:order val="6"/>
          <c:tx>
            <c:strRef>
              <c:f>Hoja9!$B$20</c:f>
              <c:strCache>
                <c:ptCount val="1"/>
                <c:pt idx="0">
                  <c:v>Julio</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Hoja9!$C$20:$K$20</c15:sqref>
                  </c15:fullRef>
                </c:ext>
              </c:extLst>
              <c:f>(Hoja9!$D$20,Hoja9!$G$20,Hoja9!$J$20)</c:f>
              <c:numCache>
                <c:formatCode>General</c:formatCode>
                <c:ptCount val="3"/>
                <c:pt idx="0">
                  <c:v>8.6187845303867405</c:v>
                </c:pt>
                <c:pt idx="1">
                  <c:v>9.1175854118633409E-2</c:v>
                </c:pt>
                <c:pt idx="2">
                  <c:v>8.4592145015105744E-2</c:v>
                </c:pt>
              </c:numCache>
            </c:numRef>
          </c:val>
          <c:extLst>
            <c:ext xmlns:c16="http://schemas.microsoft.com/office/drawing/2014/chart" uri="{C3380CC4-5D6E-409C-BE32-E72D297353CC}">
              <c16:uniqueId val="{00000006-C12D-449C-9745-534E9BF48507}"/>
            </c:ext>
          </c:extLst>
        </c:ser>
        <c:ser>
          <c:idx val="7"/>
          <c:order val="7"/>
          <c:tx>
            <c:strRef>
              <c:f>Hoja9!$B$21</c:f>
              <c:strCache>
                <c:ptCount val="1"/>
                <c:pt idx="0">
                  <c:v>Agosto</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Hoja9!$C$21:$K$21</c15:sqref>
                  </c15:fullRef>
                </c:ext>
              </c:extLst>
              <c:f>(Hoja9!$D$21,Hoja9!$G$21,Hoja9!$J$21)</c:f>
              <c:numCache>
                <c:formatCode>General</c:formatCode>
                <c:ptCount val="3"/>
                <c:pt idx="0">
                  <c:v>6.6298342541436464</c:v>
                </c:pt>
                <c:pt idx="1">
                  <c:v>6.2879899392160973E-2</c:v>
                </c:pt>
                <c:pt idx="2">
                  <c:v>6.0422960725075532E-2</c:v>
                </c:pt>
              </c:numCache>
            </c:numRef>
          </c:val>
          <c:extLst>
            <c:ext xmlns:c16="http://schemas.microsoft.com/office/drawing/2014/chart" uri="{C3380CC4-5D6E-409C-BE32-E72D297353CC}">
              <c16:uniqueId val="{00000007-C12D-449C-9745-534E9BF48507}"/>
            </c:ext>
          </c:extLst>
        </c:ser>
        <c:ser>
          <c:idx val="8"/>
          <c:order val="8"/>
          <c:tx>
            <c:strRef>
              <c:f>Hoja9!$B$22</c:f>
              <c:strCache>
                <c:ptCount val="1"/>
                <c:pt idx="0">
                  <c:v>Septiembre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Hoja9!$C$22:$K$22</c15:sqref>
                  </c15:fullRef>
                </c:ext>
              </c:extLst>
              <c:f>(Hoja9!$D$22,Hoja9!$G$22,Hoja9!$J$22)</c:f>
              <c:numCache>
                <c:formatCode>General</c:formatCode>
                <c:ptCount val="3"/>
                <c:pt idx="0">
                  <c:v>8.6187845303867405</c:v>
                </c:pt>
                <c:pt idx="1">
                  <c:v>9.7463844057849511E-2</c:v>
                </c:pt>
                <c:pt idx="2">
                  <c:v>9.9697885196374625E-2</c:v>
                </c:pt>
              </c:numCache>
            </c:numRef>
          </c:val>
          <c:extLst>
            <c:ext xmlns:c16="http://schemas.microsoft.com/office/drawing/2014/chart" uri="{C3380CC4-5D6E-409C-BE32-E72D297353CC}">
              <c16:uniqueId val="{00000008-C12D-449C-9745-534E9BF48507}"/>
            </c:ext>
          </c:extLst>
        </c:ser>
        <c:ser>
          <c:idx val="9"/>
          <c:order val="9"/>
          <c:tx>
            <c:strRef>
              <c:f>Hoja9!$B$23</c:f>
              <c:strCache>
                <c:ptCount val="1"/>
                <c:pt idx="0">
                  <c:v>Octubre</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Hoja9!$C$23:$K$23</c15:sqref>
                  </c15:fullRef>
                </c:ext>
              </c:extLst>
              <c:f>(Hoja9!$D$23,Hoja9!$G$23,Hoja9!$J$23)</c:f>
              <c:numCache>
                <c:formatCode>General</c:formatCode>
                <c:ptCount val="3"/>
                <c:pt idx="0">
                  <c:v>11.160220994475138</c:v>
                </c:pt>
                <c:pt idx="1">
                  <c:v>9.1385453783273951E-2</c:v>
                </c:pt>
                <c:pt idx="2">
                  <c:v>9.0634441087613288E-2</c:v>
                </c:pt>
              </c:numCache>
            </c:numRef>
          </c:val>
          <c:extLst>
            <c:ext xmlns:c16="http://schemas.microsoft.com/office/drawing/2014/chart" uri="{C3380CC4-5D6E-409C-BE32-E72D297353CC}">
              <c16:uniqueId val="{00000009-C12D-449C-9745-534E9BF48507}"/>
            </c:ext>
          </c:extLst>
        </c:ser>
        <c:ser>
          <c:idx val="10"/>
          <c:order val="10"/>
          <c:tx>
            <c:strRef>
              <c:f>Hoja9!$B$24</c:f>
              <c:strCache>
                <c:ptCount val="1"/>
                <c:pt idx="0">
                  <c:v>Noviembre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Hoja9!$C$24:$K$24</c15:sqref>
                  </c15:fullRef>
                </c:ext>
              </c:extLst>
              <c:f>(Hoja9!$D$24,Hoja9!$G$24,Hoja9!$J$24)</c:f>
              <c:numCache>
                <c:formatCode>General</c:formatCode>
                <c:ptCount val="3"/>
                <c:pt idx="0">
                  <c:v>8.6187845303867405</c:v>
                </c:pt>
                <c:pt idx="1">
                  <c:v>8.1743869209809264E-2</c:v>
                </c:pt>
                <c:pt idx="2">
                  <c:v>8.7613293051359523E-2</c:v>
                </c:pt>
              </c:numCache>
            </c:numRef>
          </c:val>
          <c:extLst>
            <c:ext xmlns:c16="http://schemas.microsoft.com/office/drawing/2014/chart" uri="{C3380CC4-5D6E-409C-BE32-E72D297353CC}">
              <c16:uniqueId val="{0000000A-C12D-449C-9745-534E9BF48507}"/>
            </c:ext>
          </c:extLst>
        </c:ser>
        <c:ser>
          <c:idx val="11"/>
          <c:order val="11"/>
          <c:tx>
            <c:strRef>
              <c:f>Hoja9!$B$25</c:f>
              <c:strCache>
                <c:ptCount val="1"/>
                <c:pt idx="0">
                  <c:v>Diciembre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Hoja9!$C$25:$K$25</c15:sqref>
                  </c15:fullRef>
                </c:ext>
              </c:extLst>
              <c:f>(Hoja9!$D$25,Hoja9!$G$25,Hoja9!$J$25)</c:f>
              <c:numCache>
                <c:formatCode>General</c:formatCode>
                <c:ptCount val="3"/>
                <c:pt idx="0">
                  <c:v>6.2983425414364635</c:v>
                </c:pt>
                <c:pt idx="1">
                  <c:v>6.2879899392160973E-2</c:v>
                </c:pt>
                <c:pt idx="2">
                  <c:v>6.6465256797583083E-2</c:v>
                </c:pt>
              </c:numCache>
            </c:numRef>
          </c:val>
          <c:extLst>
            <c:ext xmlns:c16="http://schemas.microsoft.com/office/drawing/2014/chart" uri="{C3380CC4-5D6E-409C-BE32-E72D297353CC}">
              <c16:uniqueId val="{0000000B-C12D-449C-9745-534E9BF48507}"/>
            </c:ext>
          </c:extLst>
        </c:ser>
        <c:ser>
          <c:idx val="12"/>
          <c:order val="12"/>
          <c:tx>
            <c:strRef>
              <c:f>Hoja9!$B$26</c:f>
              <c:strCache>
                <c:ptCount val="1"/>
                <c:pt idx="0">
                  <c:v>Total Anual</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extLst>
                <c:ext xmlns:c15="http://schemas.microsoft.com/office/drawing/2012/chart" uri="{02D57815-91ED-43cb-92C2-25804820EDAC}">
                  <c15:fullRef>
                    <c15:sqref>Hoja9!$C$12:$K$13</c15:sqref>
                  </c15:fullRef>
                </c:ext>
              </c:extLst>
              <c:f>(Hoja9!$D$12:$D$13,Hoja9!$G$12:$G$13,Hoja9!$J$12:$J$13)</c:f>
              <c:multiLvlStrCache>
                <c:ptCount val="3"/>
                <c:lvl>
                  <c:pt idx="0">
                    <c:v>TAM</c:v>
                  </c:pt>
                  <c:pt idx="1">
                    <c:v>TAM</c:v>
                  </c:pt>
                  <c:pt idx="2">
                    <c:v>TAM</c:v>
                  </c:pt>
                </c:lvl>
                <c:lvl/>
              </c:multiLvlStrCache>
            </c:multiLvlStrRef>
          </c:cat>
          <c:val>
            <c:numRef>
              <c:extLst>
                <c:ext xmlns:c15="http://schemas.microsoft.com/office/drawing/2012/chart" uri="{02D57815-91ED-43cb-92C2-25804820EDAC}">
                  <c15:fullRef>
                    <c15:sqref>Hoja9!$C$26:$K$26</c15:sqref>
                  </c15:fullRef>
                </c:ext>
              </c:extLst>
              <c:f>(Hoja9!$D$26,Hoja9!$G$26,Hoja9!$J$26)</c:f>
              <c:numCache>
                <c:formatCode>General</c:formatCode>
                <c:ptCount val="3"/>
                <c:pt idx="0">
                  <c:v>100.00000000000001</c:v>
                </c:pt>
                <c:pt idx="1">
                  <c:v>1</c:v>
                </c:pt>
                <c:pt idx="2">
                  <c:v>1</c:v>
                </c:pt>
              </c:numCache>
            </c:numRef>
          </c:val>
          <c:extLst>
            <c:ext xmlns:c16="http://schemas.microsoft.com/office/drawing/2014/chart" uri="{C3380CC4-5D6E-409C-BE32-E72D297353CC}">
              <c16:uniqueId val="{0000000C-C12D-449C-9745-534E9BF48507}"/>
            </c:ext>
          </c:extLst>
        </c:ser>
        <c:dLbls>
          <c:showLegendKey val="0"/>
          <c:showVal val="0"/>
          <c:showCatName val="0"/>
          <c:showSerName val="0"/>
          <c:showPercent val="0"/>
          <c:showBubbleSize val="0"/>
        </c:dLbls>
        <c:gapWidth val="150"/>
        <c:shape val="box"/>
        <c:axId val="1483847231"/>
        <c:axId val="1483842431"/>
        <c:axId val="0"/>
      </c:bar3DChart>
      <c:catAx>
        <c:axId val="1483847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483842431"/>
        <c:crosses val="autoZero"/>
        <c:auto val="1"/>
        <c:lblAlgn val="ctr"/>
        <c:lblOffset val="100"/>
        <c:noMultiLvlLbl val="0"/>
      </c:catAx>
      <c:valAx>
        <c:axId val="1483842431"/>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48384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Gráfico General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lotArea>
      <c:layout/>
      <c:barChart>
        <c:barDir val="col"/>
        <c:grouping val="clustered"/>
        <c:varyColors val="0"/>
        <c:ser>
          <c:idx val="0"/>
          <c:order val="0"/>
          <c:tx>
            <c:strRef>
              <c:f>Hoja9!$C$12:$C$13</c:f>
              <c:strCache>
                <c:ptCount val="2"/>
                <c:pt idx="0">
                  <c:v>AÑO 1 </c:v>
                </c:pt>
                <c:pt idx="1">
                  <c:v>Ventas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Hoja9!$C$14:$C$26</c:f>
              <c:numCache>
                <c:formatCode>General</c:formatCode>
                <c:ptCount val="13"/>
                <c:pt idx="0">
                  <c:v>300</c:v>
                </c:pt>
                <c:pt idx="1">
                  <c:v>315</c:v>
                </c:pt>
                <c:pt idx="2">
                  <c:v>420</c:v>
                </c:pt>
                <c:pt idx="3">
                  <c:v>450</c:v>
                </c:pt>
                <c:pt idx="4">
                  <c:v>405</c:v>
                </c:pt>
                <c:pt idx="5">
                  <c:v>375</c:v>
                </c:pt>
                <c:pt idx="6">
                  <c:v>390</c:v>
                </c:pt>
                <c:pt idx="7">
                  <c:v>300</c:v>
                </c:pt>
                <c:pt idx="8">
                  <c:v>390</c:v>
                </c:pt>
                <c:pt idx="9">
                  <c:v>505</c:v>
                </c:pt>
                <c:pt idx="10">
                  <c:v>390</c:v>
                </c:pt>
                <c:pt idx="11">
                  <c:v>285</c:v>
                </c:pt>
                <c:pt idx="12">
                  <c:v>4525</c:v>
                </c:pt>
              </c:numCache>
            </c:numRef>
          </c:val>
          <c:extLst>
            <c:ext xmlns:c16="http://schemas.microsoft.com/office/drawing/2014/chart" uri="{C3380CC4-5D6E-409C-BE32-E72D297353CC}">
              <c16:uniqueId val="{00000000-4D12-4402-B9E8-8E12504BDEDF}"/>
            </c:ext>
          </c:extLst>
        </c:ser>
        <c:ser>
          <c:idx val="1"/>
          <c:order val="1"/>
          <c:tx>
            <c:strRef>
              <c:f>Hoja9!$D$12:$D$13</c:f>
              <c:strCache>
                <c:ptCount val="2"/>
                <c:pt idx="0">
                  <c:v>AÑO 1 </c:v>
                </c:pt>
                <c:pt idx="1">
                  <c:v>TAM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Hoja9!$D$14:$D$26</c:f>
              <c:numCache>
                <c:formatCode>General</c:formatCode>
                <c:ptCount val="13"/>
                <c:pt idx="0">
                  <c:v>6.6298342541436464</c:v>
                </c:pt>
                <c:pt idx="1">
                  <c:v>6.9613259668508292</c:v>
                </c:pt>
                <c:pt idx="2">
                  <c:v>9.2817679558011061</c:v>
                </c:pt>
                <c:pt idx="3">
                  <c:v>9.94475138121547</c:v>
                </c:pt>
                <c:pt idx="4">
                  <c:v>8.9502762430939224</c:v>
                </c:pt>
                <c:pt idx="5">
                  <c:v>8.2872928176795568</c:v>
                </c:pt>
                <c:pt idx="6">
                  <c:v>8.6187845303867405</c:v>
                </c:pt>
                <c:pt idx="7">
                  <c:v>6.6298342541436464</c:v>
                </c:pt>
                <c:pt idx="8">
                  <c:v>8.6187845303867405</c:v>
                </c:pt>
                <c:pt idx="9">
                  <c:v>11.160220994475138</c:v>
                </c:pt>
                <c:pt idx="10">
                  <c:v>8.6187845303867405</c:v>
                </c:pt>
                <c:pt idx="11">
                  <c:v>6.2983425414364635</c:v>
                </c:pt>
                <c:pt idx="12">
                  <c:v>100.00000000000001</c:v>
                </c:pt>
              </c:numCache>
            </c:numRef>
          </c:val>
          <c:extLst>
            <c:ext xmlns:c16="http://schemas.microsoft.com/office/drawing/2014/chart" uri="{C3380CC4-5D6E-409C-BE32-E72D297353CC}">
              <c16:uniqueId val="{00000001-4D12-4402-B9E8-8E12504BDEDF}"/>
            </c:ext>
          </c:extLst>
        </c:ser>
        <c:ser>
          <c:idx val="2"/>
          <c:order val="2"/>
          <c:tx>
            <c:strRef>
              <c:f>Hoja9!$E$12:$E$13</c:f>
              <c:strCache>
                <c:ptCount val="2"/>
                <c:pt idx="0">
                  <c:v>AÑO 1 </c:v>
                </c:pt>
                <c:pt idx="1">
                  <c:v>%</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Hoja9!$E$14:$E$26</c:f>
              <c:numCache>
                <c:formatCode>0.00%</c:formatCode>
                <c:ptCount val="13"/>
                <c:pt idx="0">
                  <c:v>2412.5</c:v>
                </c:pt>
                <c:pt idx="1">
                  <c:v>315</c:v>
                </c:pt>
                <c:pt idx="2">
                  <c:v>420</c:v>
                </c:pt>
                <c:pt idx="3">
                  <c:v>450</c:v>
                </c:pt>
                <c:pt idx="4">
                  <c:v>405</c:v>
                </c:pt>
                <c:pt idx="5">
                  <c:v>375</c:v>
                </c:pt>
                <c:pt idx="6">
                  <c:v>390</c:v>
                </c:pt>
                <c:pt idx="7">
                  <c:v>300</c:v>
                </c:pt>
                <c:pt idx="8">
                  <c:v>390</c:v>
                </c:pt>
                <c:pt idx="9">
                  <c:v>505</c:v>
                </c:pt>
                <c:pt idx="10">
                  <c:v>390</c:v>
                </c:pt>
                <c:pt idx="11">
                  <c:v>285</c:v>
                </c:pt>
                <c:pt idx="12" formatCode="General">
                  <c:v>6637.5</c:v>
                </c:pt>
              </c:numCache>
            </c:numRef>
          </c:val>
          <c:extLst>
            <c:ext xmlns:c16="http://schemas.microsoft.com/office/drawing/2014/chart" uri="{C3380CC4-5D6E-409C-BE32-E72D297353CC}">
              <c16:uniqueId val="{00000002-4D12-4402-B9E8-8E12504BDEDF}"/>
            </c:ext>
          </c:extLst>
        </c:ser>
        <c:ser>
          <c:idx val="3"/>
          <c:order val="3"/>
          <c:tx>
            <c:strRef>
              <c:f>Hoja9!$F$12:$F$13</c:f>
              <c:strCache>
                <c:ptCount val="2"/>
                <c:pt idx="0">
                  <c:v>AÑO 2 </c:v>
                </c:pt>
                <c:pt idx="1">
                  <c:v>Ventas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Hoja9!$F$14:$F$26</c:f>
              <c:numCache>
                <c:formatCode>General</c:formatCode>
                <c:ptCount val="13"/>
                <c:pt idx="0">
                  <c:v>285</c:v>
                </c:pt>
                <c:pt idx="1">
                  <c:v>345</c:v>
                </c:pt>
                <c:pt idx="2">
                  <c:v>450</c:v>
                </c:pt>
                <c:pt idx="3">
                  <c:v>465</c:v>
                </c:pt>
                <c:pt idx="4">
                  <c:v>480</c:v>
                </c:pt>
                <c:pt idx="5">
                  <c:v>420</c:v>
                </c:pt>
                <c:pt idx="6">
                  <c:v>435</c:v>
                </c:pt>
                <c:pt idx="7">
                  <c:v>300</c:v>
                </c:pt>
                <c:pt idx="8">
                  <c:v>465</c:v>
                </c:pt>
                <c:pt idx="9">
                  <c:v>436</c:v>
                </c:pt>
                <c:pt idx="10">
                  <c:v>390</c:v>
                </c:pt>
                <c:pt idx="11">
                  <c:v>300</c:v>
                </c:pt>
                <c:pt idx="12">
                  <c:v>4771</c:v>
                </c:pt>
              </c:numCache>
            </c:numRef>
          </c:val>
          <c:extLst>
            <c:ext xmlns:c16="http://schemas.microsoft.com/office/drawing/2014/chart" uri="{C3380CC4-5D6E-409C-BE32-E72D297353CC}">
              <c16:uniqueId val="{00000003-4D12-4402-B9E8-8E12504BDEDF}"/>
            </c:ext>
          </c:extLst>
        </c:ser>
        <c:ser>
          <c:idx val="4"/>
          <c:order val="4"/>
          <c:tx>
            <c:strRef>
              <c:f>Hoja9!$G$12:$G$13</c:f>
              <c:strCache>
                <c:ptCount val="2"/>
                <c:pt idx="0">
                  <c:v>AÑO 2 </c:v>
                </c:pt>
                <c:pt idx="1">
                  <c:v>TAM</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Hoja9!$G$14:$G$26</c:f>
              <c:numCache>
                <c:formatCode>General</c:formatCode>
                <c:ptCount val="13"/>
                <c:pt idx="0">
                  <c:v>5.9735904422552923E-2</c:v>
                </c:pt>
                <c:pt idx="1">
                  <c:v>7.2311884300985119E-2</c:v>
                </c:pt>
                <c:pt idx="2">
                  <c:v>9.4319849088241453E-2</c:v>
                </c:pt>
                <c:pt idx="3">
                  <c:v>9.7463844057849511E-2</c:v>
                </c:pt>
                <c:pt idx="4">
                  <c:v>0.10060783902745755</c:v>
                </c:pt>
                <c:pt idx="5">
                  <c:v>8.8031859149025365E-2</c:v>
                </c:pt>
                <c:pt idx="6">
                  <c:v>9.1175854118633409E-2</c:v>
                </c:pt>
                <c:pt idx="7">
                  <c:v>6.2879899392160973E-2</c:v>
                </c:pt>
                <c:pt idx="8">
                  <c:v>9.7463844057849511E-2</c:v>
                </c:pt>
                <c:pt idx="9">
                  <c:v>9.1385453783273951E-2</c:v>
                </c:pt>
                <c:pt idx="10">
                  <c:v>8.1743869209809264E-2</c:v>
                </c:pt>
                <c:pt idx="11">
                  <c:v>6.2879899392160973E-2</c:v>
                </c:pt>
                <c:pt idx="12">
                  <c:v>1</c:v>
                </c:pt>
              </c:numCache>
            </c:numRef>
          </c:val>
          <c:extLst>
            <c:ext xmlns:c16="http://schemas.microsoft.com/office/drawing/2014/chart" uri="{C3380CC4-5D6E-409C-BE32-E72D297353CC}">
              <c16:uniqueId val="{00000004-4D12-4402-B9E8-8E12504BDEDF}"/>
            </c:ext>
          </c:extLst>
        </c:ser>
        <c:ser>
          <c:idx val="5"/>
          <c:order val="5"/>
          <c:tx>
            <c:strRef>
              <c:f>Hoja9!$H$12:$H$13</c:f>
              <c:strCache>
                <c:ptCount val="2"/>
                <c:pt idx="0">
                  <c:v>AÑO 2 </c:v>
                </c:pt>
                <c:pt idx="1">
                  <c:v>%</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Hoja9!$H$14:$H$26</c:f>
              <c:numCache>
                <c:formatCode>General</c:formatCode>
                <c:ptCount val="13"/>
                <c:pt idx="0">
                  <c:v>2528</c:v>
                </c:pt>
                <c:pt idx="1">
                  <c:v>345</c:v>
                </c:pt>
                <c:pt idx="2">
                  <c:v>450</c:v>
                </c:pt>
                <c:pt idx="3">
                  <c:v>465</c:v>
                </c:pt>
                <c:pt idx="4">
                  <c:v>480</c:v>
                </c:pt>
                <c:pt idx="5">
                  <c:v>420</c:v>
                </c:pt>
                <c:pt idx="6">
                  <c:v>435</c:v>
                </c:pt>
                <c:pt idx="7">
                  <c:v>300</c:v>
                </c:pt>
                <c:pt idx="8">
                  <c:v>465</c:v>
                </c:pt>
                <c:pt idx="9">
                  <c:v>436</c:v>
                </c:pt>
                <c:pt idx="10">
                  <c:v>390</c:v>
                </c:pt>
                <c:pt idx="11">
                  <c:v>300</c:v>
                </c:pt>
                <c:pt idx="12">
                  <c:v>7014</c:v>
                </c:pt>
              </c:numCache>
            </c:numRef>
          </c:val>
          <c:extLst>
            <c:ext xmlns:c16="http://schemas.microsoft.com/office/drawing/2014/chart" uri="{C3380CC4-5D6E-409C-BE32-E72D297353CC}">
              <c16:uniqueId val="{00000005-4D12-4402-B9E8-8E12504BDEDF}"/>
            </c:ext>
          </c:extLst>
        </c:ser>
        <c:ser>
          <c:idx val="6"/>
          <c:order val="6"/>
          <c:tx>
            <c:strRef>
              <c:f>Hoja9!$I$12:$I$13</c:f>
              <c:strCache>
                <c:ptCount val="2"/>
                <c:pt idx="0">
                  <c:v>AÑO 3 </c:v>
                </c:pt>
                <c:pt idx="1">
                  <c:v>Ventas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Hoja9!$I$14:$I$26</c:f>
              <c:numCache>
                <c:formatCode>General</c:formatCode>
                <c:ptCount val="13"/>
                <c:pt idx="0">
                  <c:v>360</c:v>
                </c:pt>
                <c:pt idx="1">
                  <c:v>360</c:v>
                </c:pt>
                <c:pt idx="2">
                  <c:v>465</c:v>
                </c:pt>
                <c:pt idx="3">
                  <c:v>480</c:v>
                </c:pt>
                <c:pt idx="4">
                  <c:v>450</c:v>
                </c:pt>
                <c:pt idx="5">
                  <c:v>420</c:v>
                </c:pt>
                <c:pt idx="6">
                  <c:v>420</c:v>
                </c:pt>
                <c:pt idx="7">
                  <c:v>300</c:v>
                </c:pt>
                <c:pt idx="8">
                  <c:v>495</c:v>
                </c:pt>
                <c:pt idx="9">
                  <c:v>450</c:v>
                </c:pt>
                <c:pt idx="10">
                  <c:v>435</c:v>
                </c:pt>
                <c:pt idx="11">
                  <c:v>330</c:v>
                </c:pt>
                <c:pt idx="12">
                  <c:v>4965</c:v>
                </c:pt>
              </c:numCache>
            </c:numRef>
          </c:val>
          <c:extLst>
            <c:ext xmlns:c16="http://schemas.microsoft.com/office/drawing/2014/chart" uri="{C3380CC4-5D6E-409C-BE32-E72D297353CC}">
              <c16:uniqueId val="{00000006-4D12-4402-B9E8-8E12504BDEDF}"/>
            </c:ext>
          </c:extLst>
        </c:ser>
        <c:ser>
          <c:idx val="7"/>
          <c:order val="7"/>
          <c:tx>
            <c:strRef>
              <c:f>Hoja9!$J$12:$J$13</c:f>
              <c:strCache>
                <c:ptCount val="2"/>
                <c:pt idx="0">
                  <c:v>AÑO 3 </c:v>
                </c:pt>
                <c:pt idx="1">
                  <c:v>TAM</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Hoja9!$J$14:$J$26</c:f>
              <c:numCache>
                <c:formatCode>General</c:formatCode>
                <c:ptCount val="13"/>
                <c:pt idx="0">
                  <c:v>7.2507552870090641E-2</c:v>
                </c:pt>
                <c:pt idx="1">
                  <c:v>7.2507552870090641E-2</c:v>
                </c:pt>
                <c:pt idx="2">
                  <c:v>9.3655589123867067E-2</c:v>
                </c:pt>
                <c:pt idx="3">
                  <c:v>9.6676737160120846E-2</c:v>
                </c:pt>
                <c:pt idx="4">
                  <c:v>9.0634441087613288E-2</c:v>
                </c:pt>
                <c:pt idx="5">
                  <c:v>8.4592145015105744E-2</c:v>
                </c:pt>
                <c:pt idx="6">
                  <c:v>8.4592145015105744E-2</c:v>
                </c:pt>
                <c:pt idx="7">
                  <c:v>6.0422960725075532E-2</c:v>
                </c:pt>
                <c:pt idx="8">
                  <c:v>9.9697885196374625E-2</c:v>
                </c:pt>
                <c:pt idx="9">
                  <c:v>9.0634441087613288E-2</c:v>
                </c:pt>
                <c:pt idx="10">
                  <c:v>8.7613293051359523E-2</c:v>
                </c:pt>
                <c:pt idx="11">
                  <c:v>6.6465256797583083E-2</c:v>
                </c:pt>
                <c:pt idx="12">
                  <c:v>1</c:v>
                </c:pt>
              </c:numCache>
            </c:numRef>
          </c:val>
          <c:extLst>
            <c:ext xmlns:c16="http://schemas.microsoft.com/office/drawing/2014/chart" uri="{C3380CC4-5D6E-409C-BE32-E72D297353CC}">
              <c16:uniqueId val="{00000007-4D12-4402-B9E8-8E12504BDEDF}"/>
            </c:ext>
          </c:extLst>
        </c:ser>
        <c:ser>
          <c:idx val="8"/>
          <c:order val="8"/>
          <c:tx>
            <c:strRef>
              <c:f>Hoja9!$K$12:$K$13</c:f>
              <c:strCache>
                <c:ptCount val="2"/>
                <c:pt idx="0">
                  <c:v>AÑO 3 </c:v>
                </c:pt>
                <c:pt idx="1">
                  <c:v>%</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Hoja9!$B$14:$B$26</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Total Anual</c:v>
                </c:pt>
              </c:strCache>
            </c:strRef>
          </c:cat>
          <c:val>
            <c:numRef>
              <c:f>Hoja9!$K$14:$K$26</c:f>
              <c:numCache>
                <c:formatCode>General</c:formatCode>
                <c:ptCount val="13"/>
                <c:pt idx="0">
                  <c:v>2662.5</c:v>
                </c:pt>
                <c:pt idx="1">
                  <c:v>360</c:v>
                </c:pt>
                <c:pt idx="2">
                  <c:v>465</c:v>
                </c:pt>
                <c:pt idx="3">
                  <c:v>480</c:v>
                </c:pt>
                <c:pt idx="4">
                  <c:v>450</c:v>
                </c:pt>
                <c:pt idx="5">
                  <c:v>420</c:v>
                </c:pt>
                <c:pt idx="6">
                  <c:v>420</c:v>
                </c:pt>
                <c:pt idx="7">
                  <c:v>300</c:v>
                </c:pt>
                <c:pt idx="8">
                  <c:v>495</c:v>
                </c:pt>
                <c:pt idx="9">
                  <c:v>450</c:v>
                </c:pt>
                <c:pt idx="10">
                  <c:v>435</c:v>
                </c:pt>
                <c:pt idx="11">
                  <c:v>330</c:v>
                </c:pt>
                <c:pt idx="12">
                  <c:v>7267.5</c:v>
                </c:pt>
              </c:numCache>
            </c:numRef>
          </c:val>
          <c:extLst>
            <c:ext xmlns:c16="http://schemas.microsoft.com/office/drawing/2014/chart" uri="{C3380CC4-5D6E-409C-BE32-E72D297353CC}">
              <c16:uniqueId val="{00000008-4D12-4402-B9E8-8E12504BDEDF}"/>
            </c:ext>
          </c:extLst>
        </c:ser>
        <c:dLbls>
          <c:dLblPos val="outEnd"/>
          <c:showLegendKey val="0"/>
          <c:showVal val="1"/>
          <c:showCatName val="0"/>
          <c:showSerName val="0"/>
          <c:showPercent val="0"/>
          <c:showBubbleSize val="0"/>
        </c:dLbls>
        <c:gapWidth val="100"/>
        <c:overlap val="-24"/>
        <c:axId val="298750591"/>
        <c:axId val="298755871"/>
      </c:barChart>
      <c:catAx>
        <c:axId val="298750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298755871"/>
        <c:crosses val="autoZero"/>
        <c:auto val="1"/>
        <c:lblAlgn val="ctr"/>
        <c:lblOffset val="100"/>
        <c:noMultiLvlLbl val="0"/>
      </c:catAx>
      <c:valAx>
        <c:axId val="298755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298750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Crecimiento Temporal</a:t>
            </a:r>
          </a:p>
        </c:rich>
      </c:tx>
      <c:layout>
        <c:manualLayout>
          <c:xMode val="edge"/>
          <c:yMode val="edge"/>
          <c:x val="0.36661111111111111"/>
          <c:y val="3.47222222222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Hoja10!$A$13</c:f>
              <c:strCache>
                <c:ptCount val="1"/>
                <c:pt idx="0">
                  <c:v>AÑO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Hoja10!$A$14:$A$28</c:f>
              <c:numCache>
                <c:formatCode>General</c:formatCode>
                <c:ptCount val="1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numCache>
            </c:numRef>
          </c:val>
          <c:smooth val="0"/>
          <c:extLst>
            <c:ext xmlns:c16="http://schemas.microsoft.com/office/drawing/2014/chart" uri="{C3380CC4-5D6E-409C-BE32-E72D297353CC}">
              <c16:uniqueId val="{00000000-6B5D-47F5-AADE-A0F93791CFAD}"/>
            </c:ext>
          </c:extLst>
        </c:ser>
        <c:ser>
          <c:idx val="1"/>
          <c:order val="1"/>
          <c:tx>
            <c:strRef>
              <c:f>Hoja10!$B$13</c:f>
              <c:strCache>
                <c:ptCount val="1"/>
                <c:pt idx="0">
                  <c:v>RENTA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Hoja10!$B$14:$B$28</c:f>
              <c:numCache>
                <c:formatCode>#,##0.00</c:formatCode>
                <c:ptCount val="15"/>
                <c:pt idx="0">
                  <c:v>1959.75</c:v>
                </c:pt>
                <c:pt idx="1">
                  <c:v>2239.09</c:v>
                </c:pt>
                <c:pt idx="2">
                  <c:v>1613.84</c:v>
                </c:pt>
                <c:pt idx="3">
                  <c:v>3176.06</c:v>
                </c:pt>
                <c:pt idx="4">
                  <c:v>3921.6</c:v>
                </c:pt>
                <c:pt idx="5">
                  <c:v>4624.7</c:v>
                </c:pt>
                <c:pt idx="6">
                  <c:v>5566.02</c:v>
                </c:pt>
                <c:pt idx="7">
                  <c:v>6977.84</c:v>
                </c:pt>
                <c:pt idx="8">
                  <c:v>8542.51</c:v>
                </c:pt>
                <c:pt idx="9">
                  <c:v>9949.9</c:v>
                </c:pt>
                <c:pt idx="10">
                  <c:v>11447.5</c:v>
                </c:pt>
                <c:pt idx="11">
                  <c:v>13123.04</c:v>
                </c:pt>
                <c:pt idx="12">
                  <c:v>15069.5</c:v>
                </c:pt>
                <c:pt idx="13">
                  <c:v>16801.599999999999</c:v>
                </c:pt>
                <c:pt idx="14">
                  <c:v>18523.5</c:v>
                </c:pt>
              </c:numCache>
            </c:numRef>
          </c:val>
          <c:smooth val="0"/>
          <c:extLst>
            <c:ext xmlns:c16="http://schemas.microsoft.com/office/drawing/2014/chart" uri="{C3380CC4-5D6E-409C-BE32-E72D297353CC}">
              <c16:uniqueId val="{00000002-6B5D-47F5-AADE-A0F93791CFAD}"/>
            </c:ext>
          </c:extLst>
        </c:ser>
        <c:ser>
          <c:idx val="2"/>
          <c:order val="2"/>
          <c:tx>
            <c:strRef>
              <c:f>Hoja10!$C$13</c:f>
              <c:strCache>
                <c:ptCount val="1"/>
                <c:pt idx="0">
                  <c:v>CONSUMO REAL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Hoja10!$C$14:$C$28</c:f>
              <c:numCache>
                <c:formatCode>#,##0.00</c:formatCode>
                <c:ptCount val="15"/>
                <c:pt idx="0">
                  <c:v>1751.87</c:v>
                </c:pt>
                <c:pt idx="1">
                  <c:v>1986.35</c:v>
                </c:pt>
                <c:pt idx="2">
                  <c:v>2327.9</c:v>
                </c:pt>
                <c:pt idx="3">
                  <c:v>2600.1</c:v>
                </c:pt>
                <c:pt idx="4">
                  <c:v>3550.7</c:v>
                </c:pt>
                <c:pt idx="5">
                  <c:v>4101.7</c:v>
                </c:pt>
                <c:pt idx="6">
                  <c:v>5012.6000000000004</c:v>
                </c:pt>
                <c:pt idx="7">
                  <c:v>6360.2</c:v>
                </c:pt>
                <c:pt idx="8">
                  <c:v>7990.13</c:v>
                </c:pt>
                <c:pt idx="9">
                  <c:v>9053.5</c:v>
                </c:pt>
                <c:pt idx="10">
                  <c:v>10695.4</c:v>
                </c:pt>
                <c:pt idx="11">
                  <c:v>12093.8</c:v>
                </c:pt>
                <c:pt idx="12">
                  <c:v>12906.27</c:v>
                </c:pt>
                <c:pt idx="13">
                  <c:v>15720.1</c:v>
                </c:pt>
                <c:pt idx="14">
                  <c:v>17309.7</c:v>
                </c:pt>
              </c:numCache>
            </c:numRef>
          </c:val>
          <c:smooth val="0"/>
          <c:extLst>
            <c:ext xmlns:c16="http://schemas.microsoft.com/office/drawing/2014/chart" uri="{C3380CC4-5D6E-409C-BE32-E72D297353CC}">
              <c16:uniqueId val="{00000004-6B5D-47F5-AADE-A0F93791CFAD}"/>
            </c:ext>
          </c:extLst>
        </c:ser>
        <c:dLbls>
          <c:showLegendKey val="0"/>
          <c:showVal val="0"/>
          <c:showCatName val="0"/>
          <c:showSerName val="0"/>
          <c:showPercent val="0"/>
          <c:showBubbleSize val="0"/>
        </c:dLbls>
        <c:marker val="1"/>
        <c:smooth val="0"/>
        <c:axId val="1714012680"/>
        <c:axId val="1714014728"/>
      </c:lineChart>
      <c:catAx>
        <c:axId val="17140126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014728"/>
        <c:crosses val="autoZero"/>
        <c:auto val="1"/>
        <c:lblAlgn val="ctr"/>
        <c:lblOffset val="100"/>
        <c:noMultiLvlLbl val="0"/>
      </c:catAx>
      <c:valAx>
        <c:axId val="1714014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012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Book Antiqua"/>
                <a:ea typeface="Book Antiqua"/>
                <a:cs typeface="Book Antiqua"/>
              </a:defRPr>
            </a:pPr>
            <a:r>
              <a:rPr lang="en-US"/>
              <a:t>Consumo vs renta</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Book Antiqua"/>
              <a:ea typeface="Book Antiqua"/>
              <a:cs typeface="Book Antiqua"/>
            </a:defRPr>
          </a:pPr>
          <a:endParaRPr lang="es-CO"/>
        </a:p>
      </c:txPr>
    </c:title>
    <c:autoTitleDeleted val="0"/>
    <c:plotArea>
      <c:layout/>
      <c:barChart>
        <c:barDir val="col"/>
        <c:grouping val="clustered"/>
        <c:varyColors val="0"/>
        <c:ser>
          <c:idx val="0"/>
          <c:order val="0"/>
          <c:tx>
            <c:strRef>
              <c:f>{"Ventas"}</c:f>
              <c:strCache>
                <c:ptCount val="1"/>
                <c:pt idx="0">
                  <c:v>Ventas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Hoja10!A14:A28</c:f>
              <c:numCache>
                <c:formatCode>General</c:formatCode>
                <c:ptCount val="1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numCache>
            </c:numRef>
          </c:cat>
          <c:val>
            <c:numRef>
              <c:f>Hoja10!B14:B28</c:f>
              <c:numCache>
                <c:formatCode>#,##0.00</c:formatCode>
                <c:ptCount val="15"/>
                <c:pt idx="0">
                  <c:v>1959.75</c:v>
                </c:pt>
                <c:pt idx="1">
                  <c:v>2239.09</c:v>
                </c:pt>
                <c:pt idx="2">
                  <c:v>1613.84</c:v>
                </c:pt>
                <c:pt idx="3">
                  <c:v>3176.06</c:v>
                </c:pt>
                <c:pt idx="4">
                  <c:v>3921.6</c:v>
                </c:pt>
                <c:pt idx="5">
                  <c:v>4624.7</c:v>
                </c:pt>
                <c:pt idx="6">
                  <c:v>5566.02</c:v>
                </c:pt>
                <c:pt idx="7">
                  <c:v>6977.84</c:v>
                </c:pt>
                <c:pt idx="8">
                  <c:v>8542.51</c:v>
                </c:pt>
                <c:pt idx="9">
                  <c:v>9949.9</c:v>
                </c:pt>
                <c:pt idx="10">
                  <c:v>11447.5</c:v>
                </c:pt>
                <c:pt idx="11">
                  <c:v>13123.04</c:v>
                </c:pt>
                <c:pt idx="12">
                  <c:v>15069.5</c:v>
                </c:pt>
                <c:pt idx="13">
                  <c:v>16801.599999999999</c:v>
                </c:pt>
                <c:pt idx="14">
                  <c:v>18523.5</c:v>
                </c:pt>
              </c:numCache>
            </c:numRef>
          </c:val>
          <c:extLst>
            <c:ext xmlns:c16="http://schemas.microsoft.com/office/drawing/2014/chart" uri="{C3380CC4-5D6E-409C-BE32-E72D297353CC}">
              <c16:uniqueId val="{00000001-9551-4C73-88C4-0AA56B456DAC}"/>
            </c:ext>
          </c:extLst>
        </c:ser>
        <c:ser>
          <c:idx val="1"/>
          <c:order val="1"/>
          <c:tx>
            <c:strRef>
              <c:f>{"Consumo"}</c:f>
              <c:strCache>
                <c:ptCount val="1"/>
                <c:pt idx="0">
                  <c:v>Consumo</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Hoja10!A14:A28</c:f>
              <c:numCache>
                <c:formatCode>General</c:formatCode>
                <c:ptCount val="1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numCache>
            </c:numRef>
          </c:cat>
          <c:val>
            <c:numRef>
              <c:f>Hoja10!C14:C28</c:f>
              <c:numCache>
                <c:formatCode>#,##0.00</c:formatCode>
                <c:ptCount val="15"/>
                <c:pt idx="0">
                  <c:v>1751.87</c:v>
                </c:pt>
                <c:pt idx="1">
                  <c:v>1986.35</c:v>
                </c:pt>
                <c:pt idx="2">
                  <c:v>2327.9</c:v>
                </c:pt>
                <c:pt idx="3">
                  <c:v>2600.1</c:v>
                </c:pt>
                <c:pt idx="4">
                  <c:v>3550.7</c:v>
                </c:pt>
                <c:pt idx="5">
                  <c:v>4101.7</c:v>
                </c:pt>
                <c:pt idx="6">
                  <c:v>5012.6000000000004</c:v>
                </c:pt>
                <c:pt idx="7">
                  <c:v>6360.2</c:v>
                </c:pt>
                <c:pt idx="8">
                  <c:v>7990.13</c:v>
                </c:pt>
                <c:pt idx="9">
                  <c:v>9053.5</c:v>
                </c:pt>
                <c:pt idx="10">
                  <c:v>10695.4</c:v>
                </c:pt>
                <c:pt idx="11">
                  <c:v>12093.8</c:v>
                </c:pt>
                <c:pt idx="12">
                  <c:v>12906.27</c:v>
                </c:pt>
                <c:pt idx="13">
                  <c:v>15720.1</c:v>
                </c:pt>
                <c:pt idx="14">
                  <c:v>17309.7</c:v>
                </c:pt>
              </c:numCache>
            </c:numRef>
          </c:val>
          <c:extLst>
            <c:ext xmlns:c16="http://schemas.microsoft.com/office/drawing/2014/chart" uri="{C3380CC4-5D6E-409C-BE32-E72D297353CC}">
              <c16:uniqueId val="{00000003-9551-4C73-88C4-0AA56B456DAC}"/>
            </c:ext>
          </c:extLst>
        </c:ser>
        <c:dLbls>
          <c:dLblPos val="outEnd"/>
          <c:showLegendKey val="0"/>
          <c:showVal val="1"/>
          <c:showCatName val="0"/>
          <c:showSerName val="0"/>
          <c:showPercent val="0"/>
          <c:showBubbleSize val="0"/>
        </c:dLbls>
        <c:gapWidth val="444"/>
        <c:overlap val="-90"/>
        <c:axId val="1196203871"/>
        <c:axId val="1196206271"/>
      </c:barChart>
      <c:catAx>
        <c:axId val="119620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CO"/>
          </a:p>
        </c:txPr>
        <c:crossAx val="1196206271"/>
        <c:crosses val="autoZero"/>
        <c:auto val="1"/>
        <c:lblAlgn val="ctr"/>
        <c:lblOffset val="100"/>
        <c:noMultiLvlLbl val="0"/>
      </c:catAx>
      <c:valAx>
        <c:axId val="1196206271"/>
        <c:scaling>
          <c:orientation val="minMax"/>
        </c:scaling>
        <c:delete val="1"/>
        <c:axPos val="l"/>
        <c:numFmt formatCode="#,##0.00" sourceLinked="1"/>
        <c:majorTickMark val="none"/>
        <c:minorTickMark val="none"/>
        <c:tickLblPos val="nextTo"/>
        <c:crossAx val="1196203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Consumo por Año</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0.10024759405074365"/>
          <c:y val="0.12078703703703704"/>
          <c:w val="0.82692607174103239"/>
          <c:h val="0.61498432487605714"/>
        </c:manualLayout>
      </c:layout>
      <c:barChart>
        <c:barDir val="bar"/>
        <c:grouping val="clustered"/>
        <c:varyColors val="0"/>
        <c:ser>
          <c:idx val="1"/>
          <c:order val="0"/>
          <c:tx>
            <c:strRef>
              <c:f>{"Consumo Real"}</c:f>
              <c:strCache>
                <c:ptCount val="1"/>
                <c:pt idx="0">
                  <c:v>Consumo Real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numRef>
              <c:f>Hoja10!A14:A28</c:f>
              <c:numCache>
                <c:formatCode>General</c:formatCode>
                <c:ptCount val="1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numCache>
            </c:numRef>
          </c:cat>
          <c:val>
            <c:numRef>
              <c:f>Hoja10!$C$14:$C$28</c:f>
              <c:numCache>
                <c:formatCode>#,##0.00</c:formatCode>
                <c:ptCount val="15"/>
                <c:pt idx="0">
                  <c:v>1751.87</c:v>
                </c:pt>
                <c:pt idx="1">
                  <c:v>1986.35</c:v>
                </c:pt>
                <c:pt idx="2">
                  <c:v>2327.9</c:v>
                </c:pt>
                <c:pt idx="3">
                  <c:v>2600.1</c:v>
                </c:pt>
                <c:pt idx="4">
                  <c:v>3550.7</c:v>
                </c:pt>
                <c:pt idx="5">
                  <c:v>4101.7</c:v>
                </c:pt>
                <c:pt idx="6">
                  <c:v>5012.6000000000004</c:v>
                </c:pt>
                <c:pt idx="7">
                  <c:v>6360.2</c:v>
                </c:pt>
                <c:pt idx="8">
                  <c:v>7990.13</c:v>
                </c:pt>
                <c:pt idx="9">
                  <c:v>9053.5</c:v>
                </c:pt>
                <c:pt idx="10">
                  <c:v>10695.4</c:v>
                </c:pt>
                <c:pt idx="11">
                  <c:v>12093.8</c:v>
                </c:pt>
                <c:pt idx="12">
                  <c:v>12906.27</c:v>
                </c:pt>
                <c:pt idx="13">
                  <c:v>15720.1</c:v>
                </c:pt>
                <c:pt idx="14">
                  <c:v>17309.7</c:v>
                </c:pt>
              </c:numCache>
            </c:numRef>
          </c:val>
          <c:extLst>
            <c:ext xmlns:c16="http://schemas.microsoft.com/office/drawing/2014/chart" uri="{C3380CC4-5D6E-409C-BE32-E72D297353CC}">
              <c16:uniqueId val="{00000003-10E3-4EE5-B711-B05B66BE5B11}"/>
            </c:ext>
          </c:extLst>
        </c:ser>
        <c:ser>
          <c:idx val="2"/>
          <c:order val="1"/>
          <c:tx>
            <c:strRef>
              <c:f>{"Consumo Esperado"}</c:f>
              <c:strCache>
                <c:ptCount val="1"/>
                <c:pt idx="0">
                  <c:v>Consumo Esperado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numRef>
              <c:f>Hoja10!A14:A28</c:f>
              <c:numCache>
                <c:formatCode>General</c:formatCode>
                <c:ptCount val="1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numCache>
            </c:numRef>
          </c:cat>
          <c:val>
            <c:numRef>
              <c:f>Hoja10!$D$14:$D$28</c:f>
              <c:numCache>
                <c:formatCode>#,##0.00</c:formatCode>
                <c:ptCount val="15"/>
                <c:pt idx="0">
                  <c:v>1833.1003716624664</c:v>
                </c:pt>
                <c:pt idx="1">
                  <c:v>2088.178775165934</c:v>
                </c:pt>
                <c:pt idx="2">
                  <c:v>1517.2337913091894</c:v>
                </c:pt>
                <c:pt idx="3">
                  <c:v>2943.7698531735359</c:v>
                </c:pt>
                <c:pt idx="4">
                  <c:v>3624.5572554359219</c:v>
                </c:pt>
                <c:pt idx="5">
                  <c:v>4266.5907110931412</c:v>
                </c:pt>
                <c:pt idx="6">
                  <c:v>5126.1539773131026</c:v>
                </c:pt>
                <c:pt idx="7">
                  <c:v>6415.3527731685654</c:v>
                </c:pt>
                <c:pt idx="8">
                  <c:v>7844.126044485849</c:v>
                </c:pt>
                <c:pt idx="9">
                  <c:v>9129.2796003917138</c:v>
                </c:pt>
                <c:pt idx="10">
                  <c:v>10496.808121501446</c:v>
                </c:pt>
                <c:pt idx="11">
                  <c:v>12026.821969164508</c:v>
                </c:pt>
                <c:pt idx="12">
                  <c:v>13804.225524986656</c:v>
                </c:pt>
                <c:pt idx="13">
                  <c:v>15385.886950877522</c:v>
                </c:pt>
                <c:pt idx="14">
                  <c:v>16958.234280270452</c:v>
                </c:pt>
              </c:numCache>
            </c:numRef>
          </c:val>
          <c:extLst>
            <c:ext xmlns:c16="http://schemas.microsoft.com/office/drawing/2014/chart" uri="{C3380CC4-5D6E-409C-BE32-E72D297353CC}">
              <c16:uniqueId val="{00000005-10E3-4EE5-B711-B05B66BE5B11}"/>
            </c:ext>
          </c:extLst>
        </c:ser>
        <c:dLbls>
          <c:showLegendKey val="0"/>
          <c:showVal val="0"/>
          <c:showCatName val="0"/>
          <c:showSerName val="0"/>
          <c:showPercent val="0"/>
          <c:showBubbleSize val="0"/>
        </c:dLbls>
        <c:gapWidth val="100"/>
        <c:axId val="1196177471"/>
        <c:axId val="1196172671"/>
      </c:barChart>
      <c:catAx>
        <c:axId val="119617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1196172671"/>
        <c:crosses val="autoZero"/>
        <c:auto val="1"/>
        <c:lblAlgn val="ctr"/>
        <c:lblOffset val="100"/>
        <c:noMultiLvlLbl val="0"/>
      </c:catAx>
      <c:valAx>
        <c:axId val="11961726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119617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4"/>
          <c:order val="0"/>
          <c:tx>
            <c:strRef>
              <c:f>Hoja11!$F$10</c:f>
              <c:strCache>
                <c:ptCount val="1"/>
                <c:pt idx="0">
                  <c:v>NETO</c:v>
                </c:pt>
              </c:strCache>
            </c:strRef>
          </c:tx>
          <c:spPr>
            <a:solidFill>
              <a:schemeClr val="accent5"/>
            </a:solidFill>
            <a:ln>
              <a:noFill/>
            </a:ln>
            <a:effectLst/>
          </c:spPr>
          <c:invertIfNegative val="0"/>
          <c:cat>
            <c:strRef>
              <c:f>Hoja11!$A$11:$A$16</c:f>
              <c:strCache>
                <c:ptCount val="6"/>
                <c:pt idx="0">
                  <c:v>Impresora</c:v>
                </c:pt>
                <c:pt idx="1">
                  <c:v>CPU Pentium</c:v>
                </c:pt>
                <c:pt idx="2">
                  <c:v>Monitor color</c:v>
                </c:pt>
                <c:pt idx="3">
                  <c:v>Ratón</c:v>
                </c:pt>
                <c:pt idx="4">
                  <c:v>Teclado</c:v>
                </c:pt>
                <c:pt idx="5">
                  <c:v>Windows 95</c:v>
                </c:pt>
              </c:strCache>
            </c:strRef>
          </c:cat>
          <c:val>
            <c:numRef>
              <c:f>Hoja11!$F$11:$F$16</c:f>
              <c:numCache>
                <c:formatCode>#,##0</c:formatCode>
                <c:ptCount val="6"/>
                <c:pt idx="0">
                  <c:v>77280</c:v>
                </c:pt>
                <c:pt idx="1">
                  <c:v>313280</c:v>
                </c:pt>
                <c:pt idx="2">
                  <c:v>117760</c:v>
                </c:pt>
                <c:pt idx="3">
                  <c:v>11400</c:v>
                </c:pt>
                <c:pt idx="4">
                  <c:v>58880</c:v>
                </c:pt>
                <c:pt idx="5">
                  <c:v>12844.949999999999</c:v>
                </c:pt>
              </c:numCache>
            </c:numRef>
          </c:val>
          <c:extLst>
            <c:ext xmlns:c16="http://schemas.microsoft.com/office/drawing/2014/chart" uri="{C3380CC4-5D6E-409C-BE32-E72D297353CC}">
              <c16:uniqueId val="{00000008-1643-4DB5-90BE-6E299CADF250}"/>
            </c:ext>
          </c:extLst>
        </c:ser>
        <c:dLbls>
          <c:showLegendKey val="0"/>
          <c:showVal val="0"/>
          <c:showCatName val="0"/>
          <c:showSerName val="0"/>
          <c:showPercent val="0"/>
          <c:showBubbleSize val="0"/>
        </c:dLbls>
        <c:gapWidth val="182"/>
        <c:axId val="742374407"/>
        <c:axId val="830022663"/>
      </c:barChart>
      <c:catAx>
        <c:axId val="742374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22663"/>
        <c:crosses val="autoZero"/>
        <c:auto val="1"/>
        <c:lblAlgn val="ctr"/>
        <c:lblOffset val="100"/>
        <c:noMultiLvlLbl val="0"/>
      </c:catAx>
      <c:valAx>
        <c:axId val="8300226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374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Hoja11!$B$10</c:f>
              <c:strCache>
                <c:ptCount val="1"/>
                <c:pt idx="0">
                  <c:v>PRECIO</c:v>
                </c:pt>
              </c:strCache>
            </c:strRef>
          </c:tx>
          <c:spPr>
            <a:solidFill>
              <a:schemeClr val="accent1"/>
            </a:solidFill>
            <a:ln>
              <a:noFill/>
            </a:ln>
            <a:effectLst/>
          </c:spPr>
          <c:invertIfNegative val="0"/>
          <c:cat>
            <c:strRef>
              <c:f>Hoja11!$A$11:$A$16</c:f>
              <c:strCache>
                <c:ptCount val="6"/>
                <c:pt idx="0">
                  <c:v>Impresora</c:v>
                </c:pt>
                <c:pt idx="1">
                  <c:v>CPU Pentium</c:v>
                </c:pt>
                <c:pt idx="2">
                  <c:v>Monitor color</c:v>
                </c:pt>
                <c:pt idx="3">
                  <c:v>Ratón</c:v>
                </c:pt>
                <c:pt idx="4">
                  <c:v>Teclado</c:v>
                </c:pt>
                <c:pt idx="5">
                  <c:v>Windows 95</c:v>
                </c:pt>
              </c:strCache>
            </c:strRef>
          </c:cat>
          <c:val>
            <c:numRef>
              <c:f>Hoja11!$B$11:$B$16</c:f>
              <c:numCache>
                <c:formatCode>#,##0</c:formatCode>
                <c:ptCount val="6"/>
                <c:pt idx="0">
                  <c:v>42000</c:v>
                </c:pt>
                <c:pt idx="1">
                  <c:v>89000</c:v>
                </c:pt>
                <c:pt idx="2">
                  <c:v>32000</c:v>
                </c:pt>
                <c:pt idx="3">
                  <c:v>3000</c:v>
                </c:pt>
                <c:pt idx="4">
                  <c:v>16000</c:v>
                </c:pt>
                <c:pt idx="5">
                  <c:v>13521</c:v>
                </c:pt>
              </c:numCache>
            </c:numRef>
          </c:val>
          <c:extLst>
            <c:ext xmlns:c16="http://schemas.microsoft.com/office/drawing/2014/chart" uri="{C3380CC4-5D6E-409C-BE32-E72D297353CC}">
              <c16:uniqueId val="{00000000-4A09-40F3-B10B-BAC93F785DB4}"/>
            </c:ext>
          </c:extLst>
        </c:ser>
        <c:dLbls>
          <c:showLegendKey val="0"/>
          <c:showVal val="0"/>
          <c:showCatName val="0"/>
          <c:showSerName val="0"/>
          <c:showPercent val="0"/>
          <c:showBubbleSize val="0"/>
        </c:dLbls>
        <c:gapWidth val="219"/>
        <c:overlap val="-27"/>
        <c:axId val="742452231"/>
        <c:axId val="742458887"/>
      </c:barChart>
      <c:catAx>
        <c:axId val="742452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58887"/>
        <c:crosses val="autoZero"/>
        <c:auto val="1"/>
        <c:lblAlgn val="ctr"/>
        <c:lblOffset val="100"/>
        <c:noMultiLvlLbl val="0"/>
      </c:catAx>
      <c:valAx>
        <c:axId val="742458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52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3"/>
          <c:order val="0"/>
          <c:tx>
            <c:strRef>
              <c:f>Hoja11!$E$10</c:f>
              <c:strCache>
                <c:ptCount val="1"/>
                <c:pt idx="0">
                  <c:v>DTO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Hoja11!$A$11:$A$16</c:f>
              <c:strCache>
                <c:ptCount val="6"/>
                <c:pt idx="0">
                  <c:v>Impresora</c:v>
                </c:pt>
                <c:pt idx="1">
                  <c:v>CPU Pentium</c:v>
                </c:pt>
                <c:pt idx="2">
                  <c:v>Monitor color</c:v>
                </c:pt>
                <c:pt idx="3">
                  <c:v>Ratón</c:v>
                </c:pt>
                <c:pt idx="4">
                  <c:v>Teclado</c:v>
                </c:pt>
                <c:pt idx="5">
                  <c:v>Windows 95</c:v>
                </c:pt>
              </c:strCache>
            </c:strRef>
          </c:cat>
          <c:val>
            <c:numRef>
              <c:f>Hoja11!$E$11:$E$16</c:f>
              <c:numCache>
                <c:formatCode>0%</c:formatCode>
                <c:ptCount val="6"/>
                <c:pt idx="0">
                  <c:v>0.08</c:v>
                </c:pt>
                <c:pt idx="1">
                  <c:v>0.12</c:v>
                </c:pt>
                <c:pt idx="2">
                  <c:v>0.08</c:v>
                </c:pt>
                <c:pt idx="3">
                  <c:v>0.05</c:v>
                </c:pt>
                <c:pt idx="4">
                  <c:v>0.08</c:v>
                </c:pt>
                <c:pt idx="5">
                  <c:v>0.05</c:v>
                </c:pt>
              </c:numCache>
            </c:numRef>
          </c:val>
          <c:extLst>
            <c:ext xmlns:c16="http://schemas.microsoft.com/office/drawing/2014/chart" uri="{C3380CC4-5D6E-409C-BE32-E72D297353CC}">
              <c16:uniqueId val="{00000006-FBEB-4040-9847-59224949A14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 GENERAL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Hoja11!$A$11</c:f>
              <c:strCache>
                <c:ptCount val="1"/>
                <c:pt idx="0">
                  <c:v>Impresora</c:v>
                </c:pt>
              </c:strCache>
            </c:strRef>
          </c:tx>
          <c:spPr>
            <a:solidFill>
              <a:schemeClr val="accent1"/>
            </a:solidFill>
            <a:ln>
              <a:noFill/>
            </a:ln>
            <a:effectLst/>
          </c:spPr>
          <c:invertIfNegative val="0"/>
          <c:cat>
            <c:strRef>
              <c:f>Hoja11!$B$10:$G$10</c:f>
              <c:strCache>
                <c:ptCount val="6"/>
                <c:pt idx="0">
                  <c:v>PRECIO</c:v>
                </c:pt>
                <c:pt idx="1">
                  <c:v>CANTIDAD</c:v>
                </c:pt>
                <c:pt idx="2">
                  <c:v>BRUTO</c:v>
                </c:pt>
                <c:pt idx="3">
                  <c:v>DTO %</c:v>
                </c:pt>
                <c:pt idx="4">
                  <c:v>NETO</c:v>
                </c:pt>
                <c:pt idx="5">
                  <c:v>TOTAL (IVA 16%)</c:v>
                </c:pt>
              </c:strCache>
            </c:strRef>
          </c:cat>
          <c:val>
            <c:numRef>
              <c:f>Hoja11!$B$11:$G$11</c:f>
              <c:numCache>
                <c:formatCode>General</c:formatCode>
                <c:ptCount val="6"/>
                <c:pt idx="0" formatCode="#,##0">
                  <c:v>42000</c:v>
                </c:pt>
                <c:pt idx="1">
                  <c:v>2</c:v>
                </c:pt>
                <c:pt idx="2" formatCode="#,##0">
                  <c:v>84000</c:v>
                </c:pt>
                <c:pt idx="3" formatCode="0%">
                  <c:v>0.08</c:v>
                </c:pt>
                <c:pt idx="4" formatCode="#,##0">
                  <c:v>77280</c:v>
                </c:pt>
                <c:pt idx="5" formatCode="#,##0">
                  <c:v>77280</c:v>
                </c:pt>
              </c:numCache>
            </c:numRef>
          </c:val>
          <c:extLst>
            <c:ext xmlns:c16="http://schemas.microsoft.com/office/drawing/2014/chart" uri="{C3380CC4-5D6E-409C-BE32-E72D297353CC}">
              <c16:uniqueId val="{00000000-9D37-4695-A47F-552A435D9F5E}"/>
            </c:ext>
          </c:extLst>
        </c:ser>
        <c:ser>
          <c:idx val="1"/>
          <c:order val="1"/>
          <c:tx>
            <c:strRef>
              <c:f>Hoja11!$A$12</c:f>
              <c:strCache>
                <c:ptCount val="1"/>
                <c:pt idx="0">
                  <c:v>CPU Pentium</c:v>
                </c:pt>
              </c:strCache>
            </c:strRef>
          </c:tx>
          <c:spPr>
            <a:solidFill>
              <a:schemeClr val="accent2"/>
            </a:solidFill>
            <a:ln>
              <a:noFill/>
            </a:ln>
            <a:effectLst/>
          </c:spPr>
          <c:invertIfNegative val="0"/>
          <c:cat>
            <c:strRef>
              <c:f>Hoja11!$B$10:$G$10</c:f>
              <c:strCache>
                <c:ptCount val="6"/>
                <c:pt idx="0">
                  <c:v>PRECIO</c:v>
                </c:pt>
                <c:pt idx="1">
                  <c:v>CANTIDAD</c:v>
                </c:pt>
                <c:pt idx="2">
                  <c:v>BRUTO</c:v>
                </c:pt>
                <c:pt idx="3">
                  <c:v>DTO %</c:v>
                </c:pt>
                <c:pt idx="4">
                  <c:v>NETO</c:v>
                </c:pt>
                <c:pt idx="5">
                  <c:v>TOTAL (IVA 16%)</c:v>
                </c:pt>
              </c:strCache>
            </c:strRef>
          </c:cat>
          <c:val>
            <c:numRef>
              <c:f>Hoja11!$B$12:$G$12</c:f>
              <c:numCache>
                <c:formatCode>General</c:formatCode>
                <c:ptCount val="6"/>
                <c:pt idx="0" formatCode="#,##0">
                  <c:v>89000</c:v>
                </c:pt>
                <c:pt idx="1">
                  <c:v>4</c:v>
                </c:pt>
                <c:pt idx="2" formatCode="#,##0">
                  <c:v>356000</c:v>
                </c:pt>
                <c:pt idx="3" formatCode="0%">
                  <c:v>0.12</c:v>
                </c:pt>
                <c:pt idx="4" formatCode="#,##0">
                  <c:v>313280</c:v>
                </c:pt>
                <c:pt idx="5" formatCode="#,##0">
                  <c:v>313280</c:v>
                </c:pt>
              </c:numCache>
            </c:numRef>
          </c:val>
          <c:extLst>
            <c:ext xmlns:c16="http://schemas.microsoft.com/office/drawing/2014/chart" uri="{C3380CC4-5D6E-409C-BE32-E72D297353CC}">
              <c16:uniqueId val="{00000002-9D37-4695-A47F-552A435D9F5E}"/>
            </c:ext>
          </c:extLst>
        </c:ser>
        <c:ser>
          <c:idx val="2"/>
          <c:order val="2"/>
          <c:tx>
            <c:strRef>
              <c:f>Hoja11!$A$13</c:f>
              <c:strCache>
                <c:ptCount val="1"/>
                <c:pt idx="0">
                  <c:v>Monitor color</c:v>
                </c:pt>
              </c:strCache>
            </c:strRef>
          </c:tx>
          <c:spPr>
            <a:solidFill>
              <a:schemeClr val="accent3"/>
            </a:solidFill>
            <a:ln>
              <a:noFill/>
            </a:ln>
            <a:effectLst/>
          </c:spPr>
          <c:invertIfNegative val="0"/>
          <c:cat>
            <c:strRef>
              <c:f>Hoja11!$B$10:$G$10</c:f>
              <c:strCache>
                <c:ptCount val="6"/>
                <c:pt idx="0">
                  <c:v>PRECIO</c:v>
                </c:pt>
                <c:pt idx="1">
                  <c:v>CANTIDAD</c:v>
                </c:pt>
                <c:pt idx="2">
                  <c:v>BRUTO</c:v>
                </c:pt>
                <c:pt idx="3">
                  <c:v>DTO %</c:v>
                </c:pt>
                <c:pt idx="4">
                  <c:v>NETO</c:v>
                </c:pt>
                <c:pt idx="5">
                  <c:v>TOTAL (IVA 16%)</c:v>
                </c:pt>
              </c:strCache>
            </c:strRef>
          </c:cat>
          <c:val>
            <c:numRef>
              <c:f>Hoja11!$B$13:$G$13</c:f>
              <c:numCache>
                <c:formatCode>General</c:formatCode>
                <c:ptCount val="6"/>
                <c:pt idx="0" formatCode="#,##0">
                  <c:v>32000</c:v>
                </c:pt>
                <c:pt idx="1">
                  <c:v>4</c:v>
                </c:pt>
                <c:pt idx="2" formatCode="#,##0">
                  <c:v>128000</c:v>
                </c:pt>
                <c:pt idx="3" formatCode="0%">
                  <c:v>0.08</c:v>
                </c:pt>
                <c:pt idx="4" formatCode="#,##0">
                  <c:v>117760</c:v>
                </c:pt>
                <c:pt idx="5" formatCode="#,##0">
                  <c:v>117760</c:v>
                </c:pt>
              </c:numCache>
            </c:numRef>
          </c:val>
          <c:extLst>
            <c:ext xmlns:c16="http://schemas.microsoft.com/office/drawing/2014/chart" uri="{C3380CC4-5D6E-409C-BE32-E72D297353CC}">
              <c16:uniqueId val="{00000004-9D37-4695-A47F-552A435D9F5E}"/>
            </c:ext>
          </c:extLst>
        </c:ser>
        <c:ser>
          <c:idx val="3"/>
          <c:order val="3"/>
          <c:tx>
            <c:strRef>
              <c:f>Hoja11!$A$14</c:f>
              <c:strCache>
                <c:ptCount val="1"/>
                <c:pt idx="0">
                  <c:v>Ratón</c:v>
                </c:pt>
              </c:strCache>
            </c:strRef>
          </c:tx>
          <c:spPr>
            <a:solidFill>
              <a:schemeClr val="accent4"/>
            </a:solidFill>
            <a:ln>
              <a:noFill/>
            </a:ln>
            <a:effectLst/>
          </c:spPr>
          <c:invertIfNegative val="0"/>
          <c:cat>
            <c:strRef>
              <c:f>Hoja11!$B$10:$G$10</c:f>
              <c:strCache>
                <c:ptCount val="6"/>
                <c:pt idx="0">
                  <c:v>PRECIO</c:v>
                </c:pt>
                <c:pt idx="1">
                  <c:v>CANTIDAD</c:v>
                </c:pt>
                <c:pt idx="2">
                  <c:v>BRUTO</c:v>
                </c:pt>
                <c:pt idx="3">
                  <c:v>DTO %</c:v>
                </c:pt>
                <c:pt idx="4">
                  <c:v>NETO</c:v>
                </c:pt>
                <c:pt idx="5">
                  <c:v>TOTAL (IVA 16%)</c:v>
                </c:pt>
              </c:strCache>
            </c:strRef>
          </c:cat>
          <c:val>
            <c:numRef>
              <c:f>Hoja11!$B$14:$G$14</c:f>
              <c:numCache>
                <c:formatCode>General</c:formatCode>
                <c:ptCount val="6"/>
                <c:pt idx="0" formatCode="#,##0">
                  <c:v>3000</c:v>
                </c:pt>
                <c:pt idx="1">
                  <c:v>4</c:v>
                </c:pt>
                <c:pt idx="2" formatCode="#,##0">
                  <c:v>12000</c:v>
                </c:pt>
                <c:pt idx="3" formatCode="0%">
                  <c:v>0.05</c:v>
                </c:pt>
                <c:pt idx="4" formatCode="#,##0">
                  <c:v>11400</c:v>
                </c:pt>
                <c:pt idx="5" formatCode="#,##0">
                  <c:v>11400</c:v>
                </c:pt>
              </c:numCache>
            </c:numRef>
          </c:val>
          <c:extLst>
            <c:ext xmlns:c16="http://schemas.microsoft.com/office/drawing/2014/chart" uri="{C3380CC4-5D6E-409C-BE32-E72D297353CC}">
              <c16:uniqueId val="{00000006-9D37-4695-A47F-552A435D9F5E}"/>
            </c:ext>
          </c:extLst>
        </c:ser>
        <c:ser>
          <c:idx val="4"/>
          <c:order val="4"/>
          <c:tx>
            <c:strRef>
              <c:f>Hoja11!$A$15</c:f>
              <c:strCache>
                <c:ptCount val="1"/>
                <c:pt idx="0">
                  <c:v>Teclado</c:v>
                </c:pt>
              </c:strCache>
            </c:strRef>
          </c:tx>
          <c:spPr>
            <a:solidFill>
              <a:schemeClr val="accent5"/>
            </a:solidFill>
            <a:ln>
              <a:noFill/>
            </a:ln>
            <a:effectLst/>
          </c:spPr>
          <c:invertIfNegative val="0"/>
          <c:cat>
            <c:strRef>
              <c:f>Hoja11!$B$10:$G$10</c:f>
              <c:strCache>
                <c:ptCount val="6"/>
                <c:pt idx="0">
                  <c:v>PRECIO</c:v>
                </c:pt>
                <c:pt idx="1">
                  <c:v>CANTIDAD</c:v>
                </c:pt>
                <c:pt idx="2">
                  <c:v>BRUTO</c:v>
                </c:pt>
                <c:pt idx="3">
                  <c:v>DTO %</c:v>
                </c:pt>
                <c:pt idx="4">
                  <c:v>NETO</c:v>
                </c:pt>
                <c:pt idx="5">
                  <c:v>TOTAL (IVA 16%)</c:v>
                </c:pt>
              </c:strCache>
            </c:strRef>
          </c:cat>
          <c:val>
            <c:numRef>
              <c:f>Hoja11!$B$15:$G$15</c:f>
              <c:numCache>
                <c:formatCode>General</c:formatCode>
                <c:ptCount val="6"/>
                <c:pt idx="0" formatCode="#,##0">
                  <c:v>16000</c:v>
                </c:pt>
                <c:pt idx="1">
                  <c:v>4</c:v>
                </c:pt>
                <c:pt idx="2" formatCode="#,##0">
                  <c:v>64000</c:v>
                </c:pt>
                <c:pt idx="3" formatCode="0%">
                  <c:v>0.08</c:v>
                </c:pt>
                <c:pt idx="4" formatCode="#,##0">
                  <c:v>58880</c:v>
                </c:pt>
                <c:pt idx="5" formatCode="#,##0">
                  <c:v>58880</c:v>
                </c:pt>
              </c:numCache>
            </c:numRef>
          </c:val>
          <c:extLst>
            <c:ext xmlns:c16="http://schemas.microsoft.com/office/drawing/2014/chart" uri="{C3380CC4-5D6E-409C-BE32-E72D297353CC}">
              <c16:uniqueId val="{00000008-9D37-4695-A47F-552A435D9F5E}"/>
            </c:ext>
          </c:extLst>
        </c:ser>
        <c:ser>
          <c:idx val="5"/>
          <c:order val="5"/>
          <c:tx>
            <c:strRef>
              <c:f>Hoja11!$A$16</c:f>
              <c:strCache>
                <c:ptCount val="1"/>
                <c:pt idx="0">
                  <c:v>Windows 95</c:v>
                </c:pt>
              </c:strCache>
            </c:strRef>
          </c:tx>
          <c:spPr>
            <a:solidFill>
              <a:schemeClr val="accent6"/>
            </a:solidFill>
            <a:ln>
              <a:noFill/>
            </a:ln>
            <a:effectLst/>
          </c:spPr>
          <c:invertIfNegative val="0"/>
          <c:cat>
            <c:strRef>
              <c:f>Hoja11!$B$10:$G$10</c:f>
              <c:strCache>
                <c:ptCount val="6"/>
                <c:pt idx="0">
                  <c:v>PRECIO</c:v>
                </c:pt>
                <c:pt idx="1">
                  <c:v>CANTIDAD</c:v>
                </c:pt>
                <c:pt idx="2">
                  <c:v>BRUTO</c:v>
                </c:pt>
                <c:pt idx="3">
                  <c:v>DTO %</c:v>
                </c:pt>
                <c:pt idx="4">
                  <c:v>NETO</c:v>
                </c:pt>
                <c:pt idx="5">
                  <c:v>TOTAL (IVA 16%)</c:v>
                </c:pt>
              </c:strCache>
            </c:strRef>
          </c:cat>
          <c:val>
            <c:numRef>
              <c:f>Hoja11!$B$16:$G$16</c:f>
              <c:numCache>
                <c:formatCode>General</c:formatCode>
                <c:ptCount val="6"/>
                <c:pt idx="0" formatCode="#,##0">
                  <c:v>13521</c:v>
                </c:pt>
                <c:pt idx="1">
                  <c:v>1</c:v>
                </c:pt>
                <c:pt idx="2" formatCode="#,##0">
                  <c:v>13521</c:v>
                </c:pt>
                <c:pt idx="3" formatCode="0%">
                  <c:v>0.05</c:v>
                </c:pt>
                <c:pt idx="4" formatCode="#,##0">
                  <c:v>12844.949999999999</c:v>
                </c:pt>
                <c:pt idx="5" formatCode="#,##0">
                  <c:v>12844.949999999999</c:v>
                </c:pt>
              </c:numCache>
            </c:numRef>
          </c:val>
          <c:extLst>
            <c:ext xmlns:c16="http://schemas.microsoft.com/office/drawing/2014/chart" uri="{C3380CC4-5D6E-409C-BE32-E72D297353CC}">
              <c16:uniqueId val="{0000000A-9D37-4695-A47F-552A435D9F5E}"/>
            </c:ext>
          </c:extLst>
        </c:ser>
        <c:dLbls>
          <c:showLegendKey val="0"/>
          <c:showVal val="0"/>
          <c:showCatName val="0"/>
          <c:showSerName val="0"/>
          <c:showPercent val="0"/>
          <c:showBubbleSize val="0"/>
        </c:dLbls>
        <c:gapWidth val="219"/>
        <c:overlap val="-27"/>
        <c:axId val="742450183"/>
        <c:axId val="742679559"/>
      </c:barChart>
      <c:catAx>
        <c:axId val="742450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79559"/>
        <c:crosses val="autoZero"/>
        <c:auto val="1"/>
        <c:lblAlgn val="ctr"/>
        <c:lblOffset val="100"/>
        <c:noMultiLvlLbl val="0"/>
      </c:catAx>
      <c:valAx>
        <c:axId val="742679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50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VENTAS POR ZONAS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Hoja12!$C$15</c:f>
              <c:strCache>
                <c:ptCount val="1"/>
                <c:pt idx="0">
                  <c:v>VENTAS</c:v>
                </c:pt>
              </c:strCache>
            </c:strRef>
          </c:tx>
          <c:spPr>
            <a:solidFill>
              <a:schemeClr val="accent1"/>
            </a:solidFill>
            <a:ln>
              <a:noFill/>
            </a:ln>
            <a:effectLst/>
          </c:spPr>
          <c:invertIfNegative val="0"/>
          <c:cat>
            <c:strRef>
              <c:f>Hoja12!$B$16:$B$23</c:f>
              <c:strCache>
                <c:ptCount val="8"/>
                <c:pt idx="0">
                  <c:v>Norte</c:v>
                </c:pt>
                <c:pt idx="1">
                  <c:v>Sur</c:v>
                </c:pt>
                <c:pt idx="2">
                  <c:v>Norte</c:v>
                </c:pt>
                <c:pt idx="3">
                  <c:v>Sur</c:v>
                </c:pt>
                <c:pt idx="4">
                  <c:v>Norte</c:v>
                </c:pt>
                <c:pt idx="5">
                  <c:v>Sur</c:v>
                </c:pt>
                <c:pt idx="6">
                  <c:v>Norte</c:v>
                </c:pt>
                <c:pt idx="7">
                  <c:v>Sur</c:v>
                </c:pt>
              </c:strCache>
            </c:strRef>
          </c:cat>
          <c:val>
            <c:numRef>
              <c:f>Hoja12!$C$16:$C$23</c:f>
              <c:numCache>
                <c:formatCode>#,##0</c:formatCode>
                <c:ptCount val="8"/>
                <c:pt idx="0">
                  <c:v>300000</c:v>
                </c:pt>
                <c:pt idx="1">
                  <c:v>150000</c:v>
                </c:pt>
                <c:pt idx="2">
                  <c:v>360000</c:v>
                </c:pt>
                <c:pt idx="3">
                  <c:v>200000</c:v>
                </c:pt>
                <c:pt idx="4">
                  <c:v>150000</c:v>
                </c:pt>
                <c:pt idx="5">
                  <c:v>250000</c:v>
                </c:pt>
                <c:pt idx="6">
                  <c:v>230000</c:v>
                </c:pt>
                <c:pt idx="7">
                  <c:v>175000</c:v>
                </c:pt>
              </c:numCache>
            </c:numRef>
          </c:val>
          <c:extLst>
            <c:ext xmlns:c16="http://schemas.microsoft.com/office/drawing/2014/chart" uri="{C3380CC4-5D6E-409C-BE32-E72D297353CC}">
              <c16:uniqueId val="{00000000-EB66-476C-B4B0-FB6738ED91C2}"/>
            </c:ext>
          </c:extLst>
        </c:ser>
        <c:dLbls>
          <c:showLegendKey val="0"/>
          <c:showVal val="0"/>
          <c:showCatName val="0"/>
          <c:showSerName val="0"/>
          <c:showPercent val="0"/>
          <c:showBubbleSize val="0"/>
        </c:dLbls>
        <c:gapWidth val="150"/>
        <c:axId val="1688521223"/>
        <c:axId val="1688612359"/>
      </c:barChart>
      <c:catAx>
        <c:axId val="1688521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12359"/>
        <c:crosses val="autoZero"/>
        <c:auto val="1"/>
        <c:lblAlgn val="ctr"/>
        <c:lblOffset val="100"/>
        <c:noMultiLvlLbl val="0"/>
      </c:catAx>
      <c:valAx>
        <c:axId val="16886123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21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0"/>
          <c:tx>
            <c:strRef>
              <c:f>Hoja12!$F$15</c:f>
              <c:strCache>
                <c:ptCount val="1"/>
                <c:pt idx="0">
                  <c:v>REMUNERACIÓN</c:v>
                </c:pt>
              </c:strCache>
            </c:strRef>
          </c:tx>
          <c:spPr>
            <a:solidFill>
              <a:schemeClr val="accent4"/>
            </a:solidFill>
            <a:ln>
              <a:noFill/>
            </a:ln>
            <a:effectLst/>
          </c:spPr>
          <c:invertIfNegative val="0"/>
          <c:cat>
            <c:multiLvlStrRef>
              <c:f>Hoja12!$A$16:$A$23,Hoja12!$B$16:$B$23</c:f>
              <c:multiLvlStrCache>
                <c:ptCount val="8"/>
                <c:lvl>
                  <c:pt idx="0">
                    <c:v>Norte</c:v>
                  </c:pt>
                  <c:pt idx="1">
                    <c:v>Sur</c:v>
                  </c:pt>
                  <c:pt idx="2">
                    <c:v>Norte</c:v>
                  </c:pt>
                  <c:pt idx="3">
                    <c:v>Sur</c:v>
                  </c:pt>
                  <c:pt idx="4">
                    <c:v>Norte</c:v>
                  </c:pt>
                  <c:pt idx="5">
                    <c:v>Sur</c:v>
                  </c:pt>
                  <c:pt idx="6">
                    <c:v>Norte</c:v>
                  </c:pt>
                  <c:pt idx="7">
                    <c:v>Sur</c:v>
                  </c:pt>
                </c:lvl>
                <c:lvl>
                  <c:pt idx="0">
                    <c:v>Pérez</c:v>
                  </c:pt>
                  <c:pt idx="1">
                    <c:v>López</c:v>
                  </c:pt>
                  <c:pt idx="2">
                    <c:v>Gómez</c:v>
                  </c:pt>
                  <c:pt idx="3">
                    <c:v>Pérez</c:v>
                  </c:pt>
                  <c:pt idx="4">
                    <c:v>López</c:v>
                  </c:pt>
                  <c:pt idx="5">
                    <c:v>Gómez</c:v>
                  </c:pt>
                  <c:pt idx="6">
                    <c:v>Pérez</c:v>
                  </c:pt>
                  <c:pt idx="7">
                    <c:v>López</c:v>
                  </c:pt>
                </c:lvl>
              </c:multiLvlStrCache>
            </c:multiLvlStrRef>
          </c:cat>
          <c:val>
            <c:numRef>
              <c:f>Hoja12!$F$16:$F$23</c:f>
              <c:numCache>
                <c:formatCode>#,##0</c:formatCode>
                <c:ptCount val="8"/>
                <c:pt idx="0">
                  <c:v>57000</c:v>
                </c:pt>
                <c:pt idx="1">
                  <c:v>22500</c:v>
                </c:pt>
                <c:pt idx="2">
                  <c:v>79200</c:v>
                </c:pt>
                <c:pt idx="3">
                  <c:v>34000</c:v>
                </c:pt>
                <c:pt idx="4">
                  <c:v>22500</c:v>
                </c:pt>
                <c:pt idx="5">
                  <c:v>47500</c:v>
                </c:pt>
                <c:pt idx="6">
                  <c:v>39100</c:v>
                </c:pt>
                <c:pt idx="7">
                  <c:v>26250</c:v>
                </c:pt>
              </c:numCache>
            </c:numRef>
          </c:val>
          <c:extLst>
            <c:ext xmlns:c16="http://schemas.microsoft.com/office/drawing/2014/chart" uri="{C3380CC4-5D6E-409C-BE32-E72D297353CC}">
              <c16:uniqueId val="{00000006-D053-4A18-B67F-501AFBF58F4A}"/>
            </c:ext>
          </c:extLst>
        </c:ser>
        <c:dLbls>
          <c:showLegendKey val="0"/>
          <c:showVal val="0"/>
          <c:showCatName val="0"/>
          <c:showSerName val="0"/>
          <c:showPercent val="0"/>
          <c:showBubbleSize val="0"/>
        </c:dLbls>
        <c:gapWidth val="219"/>
        <c:overlap val="-27"/>
        <c:axId val="1686280711"/>
        <c:axId val="1688610823"/>
      </c:barChart>
      <c:catAx>
        <c:axId val="1686280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10823"/>
        <c:crosses val="autoZero"/>
        <c:auto val="1"/>
        <c:lblAlgn val="ctr"/>
        <c:lblOffset val="100"/>
        <c:noMultiLvlLbl val="0"/>
      </c:catAx>
      <c:valAx>
        <c:axId val="1688610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280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Hoja12!$D$15</c:f>
              <c:strCache>
                <c:ptCount val="1"/>
                <c:pt idx="0">
                  <c:v>BONUS</c:v>
                </c:pt>
              </c:strCache>
            </c:strRef>
          </c:tx>
          <c:spPr>
            <a:ln w="28575" cap="rnd">
              <a:solidFill>
                <a:schemeClr val="accent2"/>
              </a:solidFill>
              <a:round/>
            </a:ln>
            <a:effectLst/>
          </c:spPr>
          <c:marker>
            <c:symbol val="none"/>
          </c:marker>
          <c:cat>
            <c:multiLvlStrRef>
              <c:f>Hoja12!$A$16:$A$23,Hoja12!$B$16:$B$23</c:f>
              <c:multiLvlStrCache>
                <c:ptCount val="8"/>
                <c:lvl>
                  <c:pt idx="0">
                    <c:v>Norte</c:v>
                  </c:pt>
                  <c:pt idx="1">
                    <c:v>Sur</c:v>
                  </c:pt>
                  <c:pt idx="2">
                    <c:v>Norte</c:v>
                  </c:pt>
                  <c:pt idx="3">
                    <c:v>Sur</c:v>
                  </c:pt>
                  <c:pt idx="4">
                    <c:v>Norte</c:v>
                  </c:pt>
                  <c:pt idx="5">
                    <c:v>Sur</c:v>
                  </c:pt>
                  <c:pt idx="6">
                    <c:v>Norte</c:v>
                  </c:pt>
                  <c:pt idx="7">
                    <c:v>Sur</c:v>
                  </c:pt>
                </c:lvl>
                <c:lvl>
                  <c:pt idx="0">
                    <c:v>Pérez</c:v>
                  </c:pt>
                  <c:pt idx="1">
                    <c:v>López</c:v>
                  </c:pt>
                  <c:pt idx="2">
                    <c:v>Gómez</c:v>
                  </c:pt>
                  <c:pt idx="3">
                    <c:v>Pérez</c:v>
                  </c:pt>
                  <c:pt idx="4">
                    <c:v>López</c:v>
                  </c:pt>
                  <c:pt idx="5">
                    <c:v>Gómez</c:v>
                  </c:pt>
                  <c:pt idx="6">
                    <c:v>Pérez</c:v>
                  </c:pt>
                  <c:pt idx="7">
                    <c:v>López</c:v>
                  </c:pt>
                </c:lvl>
              </c:multiLvlStrCache>
            </c:multiLvlStrRef>
          </c:cat>
          <c:val>
            <c:numRef>
              <c:f>Hoja12!$D$16:$D$23</c:f>
              <c:numCache>
                <c:formatCode>#,##0</c:formatCode>
                <c:ptCount val="8"/>
                <c:pt idx="0">
                  <c:v>18000</c:v>
                </c:pt>
                <c:pt idx="1">
                  <c:v>6000</c:v>
                </c:pt>
                <c:pt idx="2">
                  <c:v>25200.000000000004</c:v>
                </c:pt>
                <c:pt idx="3">
                  <c:v>10000</c:v>
                </c:pt>
                <c:pt idx="4">
                  <c:v>6000</c:v>
                </c:pt>
                <c:pt idx="5">
                  <c:v>15000</c:v>
                </c:pt>
                <c:pt idx="6">
                  <c:v>11500</c:v>
                </c:pt>
                <c:pt idx="7">
                  <c:v>7000</c:v>
                </c:pt>
              </c:numCache>
            </c:numRef>
          </c:val>
          <c:smooth val="0"/>
          <c:extLst>
            <c:ext xmlns:c16="http://schemas.microsoft.com/office/drawing/2014/chart" uri="{C3380CC4-5D6E-409C-BE32-E72D297353CC}">
              <c16:uniqueId val="{00000002-B55B-4554-B2C9-53F1E29A6DFA}"/>
            </c:ext>
          </c:extLst>
        </c:ser>
        <c:dLbls>
          <c:showLegendKey val="0"/>
          <c:showVal val="0"/>
          <c:showCatName val="0"/>
          <c:showSerName val="0"/>
          <c:showPercent val="0"/>
          <c:showBubbleSize val="0"/>
        </c:dLbls>
        <c:smooth val="0"/>
        <c:axId val="1688733191"/>
        <c:axId val="1688735239"/>
      </c:lineChart>
      <c:catAx>
        <c:axId val="1688733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35239"/>
        <c:crosses val="autoZero"/>
        <c:auto val="1"/>
        <c:lblAlgn val="ctr"/>
        <c:lblOffset val="100"/>
        <c:noMultiLvlLbl val="0"/>
      </c:catAx>
      <c:valAx>
        <c:axId val="1688735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33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Hoja12!$G$15</c:f>
              <c:strCache>
                <c:ptCount val="1"/>
                <c:pt idx="0">
                  <c:v>VTAS. NETAS</c:v>
                </c:pt>
              </c:strCache>
            </c:strRef>
          </c:tx>
          <c:spPr>
            <a:solidFill>
              <a:schemeClr val="accent5"/>
            </a:solidFill>
            <a:ln>
              <a:noFill/>
            </a:ln>
            <a:effectLst/>
          </c:spPr>
          <c:invertIfNegative val="0"/>
          <c:cat>
            <c:multiLvlStrRef>
              <c:f>Hoja12!$A$16:$A$23,Hoja12!$B$16:$B$23</c:f>
              <c:multiLvlStrCache>
                <c:ptCount val="8"/>
                <c:lvl>
                  <c:pt idx="0">
                    <c:v>Norte</c:v>
                  </c:pt>
                  <c:pt idx="1">
                    <c:v>Sur</c:v>
                  </c:pt>
                  <c:pt idx="2">
                    <c:v>Norte</c:v>
                  </c:pt>
                  <c:pt idx="3">
                    <c:v>Sur</c:v>
                  </c:pt>
                  <c:pt idx="4">
                    <c:v>Norte</c:v>
                  </c:pt>
                  <c:pt idx="5">
                    <c:v>Sur</c:v>
                  </c:pt>
                  <c:pt idx="6">
                    <c:v>Norte</c:v>
                  </c:pt>
                  <c:pt idx="7">
                    <c:v>Sur</c:v>
                  </c:pt>
                </c:lvl>
                <c:lvl>
                  <c:pt idx="0">
                    <c:v>Pérez</c:v>
                  </c:pt>
                  <c:pt idx="1">
                    <c:v>López</c:v>
                  </c:pt>
                  <c:pt idx="2">
                    <c:v>Gómez</c:v>
                  </c:pt>
                  <c:pt idx="3">
                    <c:v>Pérez</c:v>
                  </c:pt>
                  <c:pt idx="4">
                    <c:v>López</c:v>
                  </c:pt>
                  <c:pt idx="5">
                    <c:v>Gómez</c:v>
                  </c:pt>
                  <c:pt idx="6">
                    <c:v>Pérez</c:v>
                  </c:pt>
                  <c:pt idx="7">
                    <c:v>López</c:v>
                  </c:pt>
                </c:lvl>
              </c:multiLvlStrCache>
            </c:multiLvlStrRef>
          </c:cat>
          <c:val>
            <c:numRef>
              <c:f>Hoja12!$G$16:$G$23</c:f>
              <c:numCache>
                <c:formatCode>#,##0</c:formatCode>
                <c:ptCount val="8"/>
                <c:pt idx="0">
                  <c:v>243000</c:v>
                </c:pt>
                <c:pt idx="1">
                  <c:v>127500</c:v>
                </c:pt>
                <c:pt idx="2">
                  <c:v>280800</c:v>
                </c:pt>
                <c:pt idx="3">
                  <c:v>166000</c:v>
                </c:pt>
                <c:pt idx="4">
                  <c:v>127500</c:v>
                </c:pt>
                <c:pt idx="5">
                  <c:v>202500</c:v>
                </c:pt>
                <c:pt idx="6">
                  <c:v>190900</c:v>
                </c:pt>
                <c:pt idx="7">
                  <c:v>148750</c:v>
                </c:pt>
              </c:numCache>
            </c:numRef>
          </c:val>
          <c:extLst>
            <c:ext xmlns:c16="http://schemas.microsoft.com/office/drawing/2014/chart" uri="{C3380CC4-5D6E-409C-BE32-E72D297353CC}">
              <c16:uniqueId val="{00000008-D2C4-45F4-A4D7-51AA9B6B67B2}"/>
            </c:ext>
          </c:extLst>
        </c:ser>
        <c:dLbls>
          <c:showLegendKey val="0"/>
          <c:showVal val="0"/>
          <c:showCatName val="0"/>
          <c:showSerName val="0"/>
          <c:showPercent val="0"/>
          <c:showBubbleSize val="0"/>
        </c:dLbls>
        <c:gapWidth val="219"/>
        <c:overlap val="-27"/>
        <c:axId val="1764427783"/>
        <c:axId val="1764483591"/>
      </c:barChart>
      <c:catAx>
        <c:axId val="1764427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483591"/>
        <c:crosses val="autoZero"/>
        <c:auto val="1"/>
        <c:lblAlgn val="ctr"/>
        <c:lblOffset val="100"/>
        <c:noMultiLvlLbl val="0"/>
      </c:catAx>
      <c:valAx>
        <c:axId val="1764483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427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Hoja13!$B$29</c:f>
              <c:strCache>
                <c:ptCount val="1"/>
                <c:pt idx="0">
                  <c:v>TOTAL DEL ARTICULO</c:v>
                </c:pt>
              </c:strCache>
            </c:strRef>
          </c:tx>
          <c:spPr>
            <a:ln w="28575" cap="rnd">
              <a:solidFill>
                <a:schemeClr val="accent1"/>
              </a:solidFill>
              <a:round/>
            </a:ln>
            <a:effectLst/>
          </c:spPr>
          <c:marker>
            <c:symbol val="none"/>
          </c:marker>
          <c:cat>
            <c:strRef>
              <c:f>Hoja13!$A$30:$A$32</c:f>
              <c:strCache>
                <c:ptCount val="3"/>
                <c:pt idx="0">
                  <c:v>Escáners</c:v>
                </c:pt>
                <c:pt idx="1">
                  <c:v>Multimedia</c:v>
                </c:pt>
                <c:pt idx="2">
                  <c:v>Tarjetas red y módems</c:v>
                </c:pt>
              </c:strCache>
            </c:strRef>
          </c:cat>
          <c:val>
            <c:numRef>
              <c:f>Hoja13!$B$30:$B$32</c:f>
              <c:numCache>
                <c:formatCode>General</c:formatCode>
                <c:ptCount val="3"/>
                <c:pt idx="0">
                  <c:v>4</c:v>
                </c:pt>
                <c:pt idx="1">
                  <c:v>11</c:v>
                </c:pt>
                <c:pt idx="2">
                  <c:v>4</c:v>
                </c:pt>
              </c:numCache>
            </c:numRef>
          </c:val>
          <c:smooth val="0"/>
          <c:extLst>
            <c:ext xmlns:c16="http://schemas.microsoft.com/office/drawing/2014/chart" uri="{C3380CC4-5D6E-409C-BE32-E72D297353CC}">
              <c16:uniqueId val="{00000000-4144-48BE-99EA-A553D9911B06}"/>
            </c:ext>
          </c:extLst>
        </c:ser>
        <c:dLbls>
          <c:showLegendKey val="0"/>
          <c:showVal val="0"/>
          <c:showCatName val="0"/>
          <c:showSerName val="0"/>
          <c:showPercent val="0"/>
          <c:showBubbleSize val="0"/>
        </c:dLbls>
        <c:smooth val="0"/>
        <c:axId val="988058631"/>
        <c:axId val="988061191"/>
      </c:lineChart>
      <c:catAx>
        <c:axId val="988058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061191"/>
        <c:crosses val="autoZero"/>
        <c:auto val="1"/>
        <c:lblAlgn val="ctr"/>
        <c:lblOffset val="100"/>
        <c:noMultiLvlLbl val="0"/>
      </c:catAx>
      <c:valAx>
        <c:axId val="988061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058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Hoja13!$C$7</c:f>
              <c:strCache>
                <c:ptCount val="1"/>
                <c:pt idx="0">
                  <c:v>Precios</c:v>
                </c:pt>
              </c:strCache>
            </c:strRef>
          </c:tx>
          <c:spPr>
            <a:solidFill>
              <a:schemeClr val="accent1"/>
            </a:solidFill>
            <a:ln>
              <a:noFill/>
            </a:ln>
            <a:effectLst/>
          </c:spPr>
          <c:invertIfNegative val="0"/>
          <c:cat>
            <c:strRef>
              <c:f>Hoja13!$A$8:$A$26</c:f>
              <c:strCache>
                <c:ptCount val="19"/>
                <c:pt idx="0">
                  <c:v>Altavoces Soundwave 40, 15W</c:v>
                </c:pt>
                <c:pt idx="1">
                  <c:v>Altavoces Soundwave 20, 25W</c:v>
                </c:pt>
                <c:pt idx="2">
                  <c:v>Altavoces Soundwave 10, 80W</c:v>
                </c:pt>
                <c:pt idx="3">
                  <c:v>Tarj. Sonido S. Blaster+micro+altavoces estéreo</c:v>
                </c:pt>
                <c:pt idx="4">
                  <c:v>Tarj. Sonido S. Blaster 16 bits+atlv. 15W</c:v>
                </c:pt>
                <c:pt idx="5">
                  <c:v>Kit Multim. (CD-ROM+KIT SONIDO 16bits+atlv. 15W)</c:v>
                </c:pt>
                <c:pt idx="6">
                  <c:v>Kit Multim. (CD-ROM+KIT SONIDO 16bits+atlv. 25W)</c:v>
                </c:pt>
                <c:pt idx="7">
                  <c:v>Kit Multim. (CD-ROM+KIT SONIDO 16bits+atlv. 80W)</c:v>
                </c:pt>
                <c:pt idx="8">
                  <c:v>CD-ROM doble velocidad IDE</c:v>
                </c:pt>
                <c:pt idx="9">
                  <c:v>CD-ROM triple velocidad IDE</c:v>
                </c:pt>
                <c:pt idx="10">
                  <c:v>CD-ROM cuádruple velocidad IDE</c:v>
                </c:pt>
                <c:pt idx="11">
                  <c:v>Escaner Trust 256 tonos de grises</c:v>
                </c:pt>
                <c:pt idx="12">
                  <c:v>Escáner Trust Color 400ppi, 16,8 mill. de colores</c:v>
                </c:pt>
                <c:pt idx="13">
                  <c:v>Escáner Trust Sobremesa A4 1200ppi</c:v>
                </c:pt>
                <c:pt idx="14">
                  <c:v>Escáner Trust Sobremesa A4 2400ppi</c:v>
                </c:pt>
                <c:pt idx="15">
                  <c:v>AMILAN-200 ETHERNET CARD</c:v>
                </c:pt>
                <c:pt idx="16">
                  <c:v>AMILAN 890 ETHERNET POCKET</c:v>
                </c:pt>
                <c:pt idx="17">
                  <c:v>Tarjeta FAX-MODEM 2.400 Baudios, V23 V24bis, Interno</c:v>
                </c:pt>
                <c:pt idx="18">
                  <c:v>Tarjeta FAX-MODEM 14.400 Baudios HighSpeed</c:v>
                </c:pt>
              </c:strCache>
            </c:strRef>
          </c:cat>
          <c:val>
            <c:numRef>
              <c:f>Hoja13!$C$8:$C$26</c:f>
              <c:numCache>
                <c:formatCode>_-"$"\ * #,##0_-;\-"$"\ * #,##0_-;_-"$"\ * "-"??_-;_-@_-</c:formatCode>
                <c:ptCount val="19"/>
                <c:pt idx="0">
                  <c:v>3500</c:v>
                </c:pt>
                <c:pt idx="1">
                  <c:v>4900</c:v>
                </c:pt>
                <c:pt idx="2">
                  <c:v>8900</c:v>
                </c:pt>
                <c:pt idx="3">
                  <c:v>8900</c:v>
                </c:pt>
                <c:pt idx="4">
                  <c:v>16900</c:v>
                </c:pt>
                <c:pt idx="5">
                  <c:v>36900</c:v>
                </c:pt>
                <c:pt idx="6">
                  <c:v>39900</c:v>
                </c:pt>
                <c:pt idx="7">
                  <c:v>43900</c:v>
                </c:pt>
                <c:pt idx="8">
                  <c:v>21900</c:v>
                </c:pt>
                <c:pt idx="9">
                  <c:v>33900</c:v>
                </c:pt>
                <c:pt idx="10">
                  <c:v>39900</c:v>
                </c:pt>
                <c:pt idx="11">
                  <c:v>12900</c:v>
                </c:pt>
                <c:pt idx="12">
                  <c:v>28900</c:v>
                </c:pt>
                <c:pt idx="13">
                  <c:v>82900</c:v>
                </c:pt>
                <c:pt idx="14">
                  <c:v>12900</c:v>
                </c:pt>
                <c:pt idx="15">
                  <c:v>12900</c:v>
                </c:pt>
                <c:pt idx="16">
                  <c:v>15900</c:v>
                </c:pt>
                <c:pt idx="17">
                  <c:v>8900</c:v>
                </c:pt>
                <c:pt idx="18">
                  <c:v>29900</c:v>
                </c:pt>
              </c:numCache>
            </c:numRef>
          </c:val>
          <c:extLst>
            <c:ext xmlns:c16="http://schemas.microsoft.com/office/drawing/2014/chart" uri="{C3380CC4-5D6E-409C-BE32-E72D297353CC}">
              <c16:uniqueId val="{00000000-EAD0-4874-A300-7D9A90017100}"/>
            </c:ext>
          </c:extLst>
        </c:ser>
        <c:dLbls>
          <c:showLegendKey val="0"/>
          <c:showVal val="0"/>
          <c:showCatName val="0"/>
          <c:showSerName val="0"/>
          <c:showPercent val="0"/>
          <c:showBubbleSize val="0"/>
        </c:dLbls>
        <c:gapWidth val="219"/>
        <c:overlap val="-27"/>
        <c:axId val="1768332295"/>
        <c:axId val="740754439"/>
      </c:barChart>
      <c:catAx>
        <c:axId val="1768332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54439"/>
        <c:crosses val="autoZero"/>
        <c:auto val="1"/>
        <c:lblAlgn val="ctr"/>
        <c:lblOffset val="100"/>
        <c:noMultiLvlLbl val="0"/>
      </c:catAx>
      <c:valAx>
        <c:axId val="7407544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 #,##0_-;\-&quot;$&quot;\ * #,##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32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Hoja13!$D$7</c:f>
              <c:strCache>
                <c:ptCount val="1"/>
                <c:pt idx="0">
                  <c:v>PRECIO (con -3%)</c:v>
                </c:pt>
              </c:strCache>
            </c:strRef>
          </c:tx>
          <c:spPr>
            <a:solidFill>
              <a:schemeClr val="accent2"/>
            </a:solidFill>
            <a:ln>
              <a:noFill/>
            </a:ln>
            <a:effectLst/>
          </c:spPr>
          <c:invertIfNegative val="0"/>
          <c:cat>
            <c:strRef>
              <c:f>Hoja13!$A$8:$A$26</c:f>
              <c:strCache>
                <c:ptCount val="19"/>
                <c:pt idx="0">
                  <c:v>Altavoces Soundwave 40, 15W</c:v>
                </c:pt>
                <c:pt idx="1">
                  <c:v>Altavoces Soundwave 20, 25W</c:v>
                </c:pt>
                <c:pt idx="2">
                  <c:v>Altavoces Soundwave 10, 80W</c:v>
                </c:pt>
                <c:pt idx="3">
                  <c:v>Tarj. Sonido S. Blaster+micro+altavoces estéreo</c:v>
                </c:pt>
                <c:pt idx="4">
                  <c:v>Tarj. Sonido S. Blaster 16 bits+atlv. 15W</c:v>
                </c:pt>
                <c:pt idx="5">
                  <c:v>Kit Multim. (CD-ROM+KIT SONIDO 16bits+atlv. 15W)</c:v>
                </c:pt>
                <c:pt idx="6">
                  <c:v>Kit Multim. (CD-ROM+KIT SONIDO 16bits+atlv. 25W)</c:v>
                </c:pt>
                <c:pt idx="7">
                  <c:v>Kit Multim. (CD-ROM+KIT SONIDO 16bits+atlv. 80W)</c:v>
                </c:pt>
                <c:pt idx="8">
                  <c:v>CD-ROM doble velocidad IDE</c:v>
                </c:pt>
                <c:pt idx="9">
                  <c:v>CD-ROM triple velocidad IDE</c:v>
                </c:pt>
                <c:pt idx="10">
                  <c:v>CD-ROM cuádruple velocidad IDE</c:v>
                </c:pt>
                <c:pt idx="11">
                  <c:v>Escaner Trust 256 tonos de grises</c:v>
                </c:pt>
                <c:pt idx="12">
                  <c:v>Escáner Trust Color 400ppi, 16,8 mill. de colores</c:v>
                </c:pt>
                <c:pt idx="13">
                  <c:v>Escáner Trust Sobremesa A4 1200ppi</c:v>
                </c:pt>
                <c:pt idx="14">
                  <c:v>Escáner Trust Sobremesa A4 2400ppi</c:v>
                </c:pt>
                <c:pt idx="15">
                  <c:v>AMILAN-200 ETHERNET CARD</c:v>
                </c:pt>
                <c:pt idx="16">
                  <c:v>AMILAN 890 ETHERNET POCKET</c:v>
                </c:pt>
                <c:pt idx="17">
                  <c:v>Tarjeta FAX-MODEM 2.400 Baudios, V23 V24bis, Interno</c:v>
                </c:pt>
                <c:pt idx="18">
                  <c:v>Tarjeta FAX-MODEM 14.400 Baudios HighSpeed</c:v>
                </c:pt>
              </c:strCache>
            </c:strRef>
          </c:cat>
          <c:val>
            <c:numRef>
              <c:f>Hoja13!$D$8:$D$26</c:f>
              <c:numCache>
                <c:formatCode>_-"$"\ * #,##0_-;\-"$"\ * #,##0_-;_-"$"\ * "-"??_-;_-@_-</c:formatCode>
                <c:ptCount val="19"/>
                <c:pt idx="0">
                  <c:v>3395</c:v>
                </c:pt>
                <c:pt idx="1">
                  <c:v>4753</c:v>
                </c:pt>
                <c:pt idx="2">
                  <c:v>8633</c:v>
                </c:pt>
                <c:pt idx="3">
                  <c:v>8633</c:v>
                </c:pt>
                <c:pt idx="4">
                  <c:v>16393</c:v>
                </c:pt>
                <c:pt idx="5">
                  <c:v>35793</c:v>
                </c:pt>
                <c:pt idx="6">
                  <c:v>38703</c:v>
                </c:pt>
                <c:pt idx="7">
                  <c:v>42583</c:v>
                </c:pt>
                <c:pt idx="8">
                  <c:v>21243</c:v>
                </c:pt>
                <c:pt idx="9">
                  <c:v>32883</c:v>
                </c:pt>
                <c:pt idx="10">
                  <c:v>38703</c:v>
                </c:pt>
                <c:pt idx="11">
                  <c:v>12513</c:v>
                </c:pt>
                <c:pt idx="12">
                  <c:v>28033</c:v>
                </c:pt>
                <c:pt idx="13">
                  <c:v>80413</c:v>
                </c:pt>
                <c:pt idx="14">
                  <c:v>12513</c:v>
                </c:pt>
                <c:pt idx="15">
                  <c:v>12513</c:v>
                </c:pt>
                <c:pt idx="16">
                  <c:v>15423</c:v>
                </c:pt>
                <c:pt idx="17">
                  <c:v>8633</c:v>
                </c:pt>
                <c:pt idx="18">
                  <c:v>29003</c:v>
                </c:pt>
              </c:numCache>
            </c:numRef>
          </c:val>
          <c:extLst>
            <c:ext xmlns:c16="http://schemas.microsoft.com/office/drawing/2014/chart" uri="{C3380CC4-5D6E-409C-BE32-E72D297353CC}">
              <c16:uniqueId val="{00000002-10D7-4F6D-B590-A464EE95C553}"/>
            </c:ext>
          </c:extLst>
        </c:ser>
        <c:dLbls>
          <c:showLegendKey val="0"/>
          <c:showVal val="0"/>
          <c:showCatName val="0"/>
          <c:showSerName val="0"/>
          <c:showPercent val="0"/>
          <c:showBubbleSize val="0"/>
        </c:dLbls>
        <c:gapWidth val="182"/>
        <c:axId val="437899783"/>
        <c:axId val="437903367"/>
      </c:barChart>
      <c:catAx>
        <c:axId val="437899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03367"/>
        <c:crosses val="autoZero"/>
        <c:auto val="1"/>
        <c:lblAlgn val="ctr"/>
        <c:lblOffset val="100"/>
        <c:noMultiLvlLbl val="0"/>
      </c:catAx>
      <c:valAx>
        <c:axId val="43790336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 #,##0_-;\-&quot;$&quot;\ * #,##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899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98B1756F-184B-44C7-A6E9-F8403E8293E3}">
          <cx:tx>
            <cx:txData>
              <cx:f>_xlchart.v2.2</cx:f>
              <cx:v>VENTAS</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data id="1">
      <cx:strDim type="cat">
        <cx:f>_xlchart.v1.3</cx:f>
      </cx:strDim>
      <cx:numDim type="val">
        <cx:f>_xlchart.v1.7</cx:f>
      </cx:numDim>
    </cx:data>
  </cx:chartData>
  <cx:chart>
    <cx:title pos="t" align="ctr" overlay="0">
      <cx:tx>
        <cx:txData>
          <cx:v>Consumo de Cemento de Cada Provincia</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Consumo de Cemento de Cada Provincia</a:t>
          </a:r>
        </a:p>
      </cx:txPr>
    </cx:title>
    <cx:plotArea>
      <cx:plotAreaRegion>
        <cx:series layoutId="clusteredColumn" uniqueId="{00000000-13E4-48F4-81B5-09B576C2B341}" formatIdx="0">
          <cx:tx>
            <cx:txData>
              <cx:f>_xlchart.v1.4</cx:f>
              <cx:v>Tn 1994</cx:v>
            </cx:txData>
          </cx:tx>
          <cx:dataId val="0"/>
          <cx:layoutPr>
            <cx:aggregation/>
          </cx:layoutPr>
          <cx:axisId val="1"/>
        </cx:series>
        <cx:series layoutId="paretoLine" ownerIdx="0" uniqueId="{1633BC30-B18E-4B19-97E5-C4677689ACCC}" formatIdx="1">
          <cx:axisId val="2"/>
        </cx:series>
        <cx:series layoutId="clusteredColumn" hidden="1" uniqueId="{00000001-13E4-48F4-81B5-09B576C2B341}" formatIdx="2">
          <cx:tx>
            <cx:txData>
              <cx:f>_xlchart.v1.6</cx:f>
              <cx:v>Tn 1995</cx:v>
            </cx:txData>
          </cx:tx>
          <cx:dataId val="1"/>
          <cx:layoutPr>
            <cx:aggregation/>
          </cx:layoutPr>
          <cx:axisId val="1"/>
        </cx:series>
        <cx:series layoutId="paretoLine" ownerIdx="2" uniqueId="{BFECE450-653E-4AC7-AC4F-E21694FF4449}" formatIdx="3">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_xlchart.v1.9</cx:f>
      </cx:numDim>
    </cx:data>
  </cx:chartData>
  <cx:chart>
    <cx:title pos="t" align="ctr" overlay="0">
      <cx:tx>
        <cx:txData>
          <cx:v>ERROR</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ERROR</a:t>
          </a:r>
        </a:p>
      </cx:txPr>
    </cx:title>
    <cx:plotArea>
      <cx:plotAreaRegion>
        <cx:series layoutId="waterfall" uniqueId="{00000002-6463-4A42-8BEE-DB70AFFA8B28}" formatIdx="0">
          <cx:dataId val="0"/>
          <cx:layoutPr>
            <cx:subtotals/>
          </cx:layoutPr>
        </cx:series>
      </cx:plotAreaRegion>
      <cx:axis id="0">
        <cx:catScaling gapWidth="0.2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majorGridlines/>
        <cx:tickLabels/>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microsoft.com/office/2014/relationships/chartEx" Target="../charts/chartEx1.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microsoft.com/office/2014/relationships/chartEx" Target="../charts/chartEx2.xml"/><Relationship Id="rId1" Type="http://schemas.openxmlformats.org/officeDocument/2006/relationships/chart" Target="../charts/chart24.xml"/><Relationship Id="rId4"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chart" Target="../charts/chart3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6.xml"/><Relationship Id="rId2" Type="http://schemas.microsoft.com/office/2014/relationships/chartEx" Target="../charts/chartEx3.xml"/><Relationship Id="rId1" Type="http://schemas.openxmlformats.org/officeDocument/2006/relationships/chart" Target="../charts/chart35.xml"/><Relationship Id="rId4" Type="http://schemas.openxmlformats.org/officeDocument/2006/relationships/chart" Target="../charts/chart37.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4" Type="http://schemas.openxmlformats.org/officeDocument/2006/relationships/chart" Target="../charts/chart4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 Id="rId4" Type="http://schemas.openxmlformats.org/officeDocument/2006/relationships/chart" Target="../charts/chart4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4762</xdr:rowOff>
    </xdr:from>
    <xdr:to>
      <xdr:col>7</xdr:col>
      <xdr:colOff>9525</xdr:colOff>
      <xdr:row>33</xdr:row>
      <xdr:rowOff>0</xdr:rowOff>
    </xdr:to>
    <xdr:graphicFrame macro="">
      <xdr:nvGraphicFramePr>
        <xdr:cNvPr id="4" name="Gráfico 3">
          <a:extLst>
            <a:ext uri="{FF2B5EF4-FFF2-40B4-BE49-F238E27FC236}">
              <a16:creationId xmlns:a16="http://schemas.microsoft.com/office/drawing/2014/main" id="{06851AC6-D3EA-E360-7F12-D2B9F4C41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638175</xdr:colOff>
      <xdr:row>15</xdr:row>
      <xdr:rowOff>257174</xdr:rowOff>
    </xdr:from>
    <xdr:to>
      <xdr:col>13</xdr:col>
      <xdr:colOff>19050</xdr:colOff>
      <xdr:row>33</xdr:row>
      <xdr:rowOff>9526</xdr:rowOff>
    </xdr:to>
    <xdr:graphicFrame macro="">
      <xdr:nvGraphicFramePr>
        <xdr:cNvPr id="7" name="Gráfico 6">
          <a:extLst>
            <a:ext uri="{FF2B5EF4-FFF2-40B4-BE49-F238E27FC236}">
              <a16:creationId xmlns:a16="http://schemas.microsoft.com/office/drawing/2014/main" id="{C1E8B84E-39F7-76B0-A2E1-0D94351B46DB}"/>
            </a:ext>
            <a:ext uri="{147F2762-F138-4A5C-976F-8EAC2B608ADB}">
              <a16:predDERef xmlns:a16="http://schemas.microsoft.com/office/drawing/2014/main" pred="{06851AC6-D3EA-E360-7F12-D2B9F4C41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4762</xdr:colOff>
      <xdr:row>16</xdr:row>
      <xdr:rowOff>14287</xdr:rowOff>
    </xdr:from>
    <xdr:to>
      <xdr:col>26</xdr:col>
      <xdr:colOff>4762</xdr:colOff>
      <xdr:row>33</xdr:row>
      <xdr:rowOff>9525</xdr:rowOff>
    </xdr:to>
    <xdr:graphicFrame macro="">
      <xdr:nvGraphicFramePr>
        <xdr:cNvPr id="8" name="Gráfico 7">
          <a:extLst>
            <a:ext uri="{FF2B5EF4-FFF2-40B4-BE49-F238E27FC236}">
              <a16:creationId xmlns:a16="http://schemas.microsoft.com/office/drawing/2014/main" id="{EFF0DBCA-9370-57EF-5C76-C8A241307688}"/>
            </a:ext>
            <a:ext uri="{147F2762-F138-4A5C-976F-8EAC2B608ADB}">
              <a16:predDERef xmlns:a16="http://schemas.microsoft.com/office/drawing/2014/main" pred="{C1E8B84E-39F7-76B0-A2E1-0D94351B4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14287</xdr:colOff>
      <xdr:row>16</xdr:row>
      <xdr:rowOff>14286</xdr:rowOff>
    </xdr:from>
    <xdr:to>
      <xdr:col>19</xdr:col>
      <xdr:colOff>752475</xdr:colOff>
      <xdr:row>32</xdr:row>
      <xdr:rowOff>190499</xdr:rowOff>
    </xdr:to>
    <xdr:graphicFrame macro="">
      <xdr:nvGraphicFramePr>
        <xdr:cNvPr id="9" name="Gráfico 8">
          <a:extLst>
            <a:ext uri="{FF2B5EF4-FFF2-40B4-BE49-F238E27FC236}">
              <a16:creationId xmlns:a16="http://schemas.microsoft.com/office/drawing/2014/main" id="{912BCE8E-8342-AB84-B78B-4F6E7F24A7C0}"/>
            </a:ext>
            <a:ext uri="{147F2762-F138-4A5C-976F-8EAC2B608ADB}">
              <a16:predDERef xmlns:a16="http://schemas.microsoft.com/office/drawing/2014/main" pred="{EFF0DBCA-9370-57EF-5C76-C8A241307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17</xdr:row>
      <xdr:rowOff>4761</xdr:rowOff>
    </xdr:from>
    <xdr:to>
      <xdr:col>6</xdr:col>
      <xdr:colOff>4762</xdr:colOff>
      <xdr:row>31</xdr:row>
      <xdr:rowOff>180974</xdr:rowOff>
    </xdr:to>
    <xdr:graphicFrame macro="">
      <xdr:nvGraphicFramePr>
        <xdr:cNvPr id="2" name="Gráfico 1">
          <a:extLst>
            <a:ext uri="{FF2B5EF4-FFF2-40B4-BE49-F238E27FC236}">
              <a16:creationId xmlns:a16="http://schemas.microsoft.com/office/drawing/2014/main" id="{750D99BE-0010-35FE-0230-9DC1E038C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xdr:colOff>
      <xdr:row>16</xdr:row>
      <xdr:rowOff>252411</xdr:rowOff>
    </xdr:from>
    <xdr:to>
      <xdr:col>11</xdr:col>
      <xdr:colOff>28575</xdr:colOff>
      <xdr:row>31</xdr:row>
      <xdr:rowOff>190499</xdr:rowOff>
    </xdr:to>
    <xdr:graphicFrame macro="">
      <xdr:nvGraphicFramePr>
        <xdr:cNvPr id="4" name="Gráfico 3">
          <a:extLst>
            <a:ext uri="{FF2B5EF4-FFF2-40B4-BE49-F238E27FC236}">
              <a16:creationId xmlns:a16="http://schemas.microsoft.com/office/drawing/2014/main" id="{575FD653-5272-51CF-2127-C0266E5B5AB3}"/>
            </a:ext>
            <a:ext uri="{147F2762-F138-4A5C-976F-8EAC2B608ADB}">
              <a16:predDERef xmlns:a16="http://schemas.microsoft.com/office/drawing/2014/main" pred="{750D99BE-0010-35FE-0230-9DC1E038C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757237</xdr:colOff>
      <xdr:row>16</xdr:row>
      <xdr:rowOff>252412</xdr:rowOff>
    </xdr:from>
    <xdr:to>
      <xdr:col>16</xdr:col>
      <xdr:colOff>757237</xdr:colOff>
      <xdr:row>31</xdr:row>
      <xdr:rowOff>180975</xdr:rowOff>
    </xdr:to>
    <xdr:graphicFrame macro="">
      <xdr:nvGraphicFramePr>
        <xdr:cNvPr id="5" name="Gráfico 4">
          <a:extLst>
            <a:ext uri="{FF2B5EF4-FFF2-40B4-BE49-F238E27FC236}">
              <a16:creationId xmlns:a16="http://schemas.microsoft.com/office/drawing/2014/main" id="{CEB3CD7F-7A5E-6610-47CD-F9552CD0E0C2}"/>
            </a:ext>
            <a:ext uri="{147F2762-F138-4A5C-976F-8EAC2B608ADB}">
              <a16:predDERef xmlns:a16="http://schemas.microsoft.com/office/drawing/2014/main" pred="{575FD653-5272-51CF-2127-C0266E5B5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23812</xdr:colOff>
      <xdr:row>5</xdr:row>
      <xdr:rowOff>252412</xdr:rowOff>
    </xdr:from>
    <xdr:to>
      <xdr:col>14</xdr:col>
      <xdr:colOff>23812</xdr:colOff>
      <xdr:row>17</xdr:row>
      <xdr:rowOff>9525</xdr:rowOff>
    </xdr:to>
    <xdr:graphicFrame macro="">
      <xdr:nvGraphicFramePr>
        <xdr:cNvPr id="6" name="Gráfico 5">
          <a:extLst>
            <a:ext uri="{FF2B5EF4-FFF2-40B4-BE49-F238E27FC236}">
              <a16:creationId xmlns:a16="http://schemas.microsoft.com/office/drawing/2014/main" id="{A131EA3A-6248-EFD9-2695-C014E8E8E53A}"/>
            </a:ext>
            <a:ext uri="{147F2762-F138-4A5C-976F-8EAC2B608ADB}">
              <a16:predDERef xmlns:a16="http://schemas.microsoft.com/office/drawing/2014/main" pred="{CEB3CD7F-7A5E-6610-47CD-F9552CD0E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xdr:colOff>
      <xdr:row>23</xdr:row>
      <xdr:rowOff>14286</xdr:rowOff>
    </xdr:from>
    <xdr:to>
      <xdr:col>7</xdr:col>
      <xdr:colOff>0</xdr:colOff>
      <xdr:row>37</xdr:row>
      <xdr:rowOff>190499</xdr:rowOff>
    </xdr:to>
    <mc:AlternateContent xmlns:mc="http://schemas.openxmlformats.org/markup-compatibility/2006">
      <mc:Choice xmlns:cx2="http://schemas.microsoft.com/office/drawing/2015/10/21/chartex" Requires="cx2">
        <xdr:graphicFrame macro="">
          <xdr:nvGraphicFramePr>
            <xdr:cNvPr id="3" name="Gráfico 2">
              <a:extLst>
                <a:ext uri="{FF2B5EF4-FFF2-40B4-BE49-F238E27FC236}">
                  <a16:creationId xmlns:a16="http://schemas.microsoft.com/office/drawing/2014/main" id="{5E5C4E09-37F6-B766-162E-85B360BF0F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tu versión de Excel.
Si editas esta forma o guardas el libro en un formato de archivo diferente, el gráfico no se podrá usar.</a:t>
              </a:r>
            </a:p>
          </xdr:txBody>
        </xdr:sp>
      </mc:Fallback>
    </mc:AlternateContent>
    <xdr:clientData/>
  </xdr:twoCellAnchor>
  <xdr:twoCellAnchor>
    <xdr:from>
      <xdr:col>7</xdr:col>
      <xdr:colOff>4762</xdr:colOff>
      <xdr:row>23</xdr:row>
      <xdr:rowOff>9525</xdr:rowOff>
    </xdr:from>
    <xdr:to>
      <xdr:col>13</xdr:col>
      <xdr:colOff>4762</xdr:colOff>
      <xdr:row>38</xdr:row>
      <xdr:rowOff>0</xdr:rowOff>
    </xdr:to>
    <xdr:graphicFrame macro="">
      <xdr:nvGraphicFramePr>
        <xdr:cNvPr id="4" name="Gráfico 3">
          <a:extLst>
            <a:ext uri="{FF2B5EF4-FFF2-40B4-BE49-F238E27FC236}">
              <a16:creationId xmlns:a16="http://schemas.microsoft.com/office/drawing/2014/main" id="{88214078-5B6A-D2DD-DDEE-D05765744AB8}"/>
            </a:ext>
            <a:ext uri="{147F2762-F138-4A5C-976F-8EAC2B608ADB}">
              <a16:predDERef xmlns:a16="http://schemas.microsoft.com/office/drawing/2014/main" pred="{5E5C4E09-37F6-B766-162E-85B360BF0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14287</xdr:colOff>
      <xdr:row>22</xdr:row>
      <xdr:rowOff>185736</xdr:rowOff>
    </xdr:from>
    <xdr:to>
      <xdr:col>19</xdr:col>
      <xdr:colOff>14287</xdr:colOff>
      <xdr:row>37</xdr:row>
      <xdr:rowOff>190499</xdr:rowOff>
    </xdr:to>
    <xdr:graphicFrame macro="">
      <xdr:nvGraphicFramePr>
        <xdr:cNvPr id="5" name="Gráfico 4">
          <a:extLst>
            <a:ext uri="{FF2B5EF4-FFF2-40B4-BE49-F238E27FC236}">
              <a16:creationId xmlns:a16="http://schemas.microsoft.com/office/drawing/2014/main" id="{55E9DDB6-87DE-D163-A950-503D1AC85D08}"/>
            </a:ext>
            <a:ext uri="{147F2762-F138-4A5C-976F-8EAC2B608ADB}">
              <a16:predDERef xmlns:a16="http://schemas.microsoft.com/office/drawing/2014/main" pred="{88214078-5B6A-D2DD-DDEE-D05765744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28575</xdr:colOff>
      <xdr:row>8</xdr:row>
      <xdr:rowOff>0</xdr:rowOff>
    </xdr:from>
    <xdr:to>
      <xdr:col>13</xdr:col>
      <xdr:colOff>28575</xdr:colOff>
      <xdr:row>22</xdr:row>
      <xdr:rowOff>76200</xdr:rowOff>
    </xdr:to>
    <xdr:graphicFrame macro="">
      <xdr:nvGraphicFramePr>
        <xdr:cNvPr id="2" name="Gráfico 1">
          <a:extLst>
            <a:ext uri="{FF2B5EF4-FFF2-40B4-BE49-F238E27FC236}">
              <a16:creationId xmlns:a16="http://schemas.microsoft.com/office/drawing/2014/main" id="{73D93757-5091-37D1-5610-00093225D43D}"/>
            </a:ext>
            <a:ext uri="{147F2762-F138-4A5C-976F-8EAC2B608ADB}">
              <a16:predDERef xmlns:a16="http://schemas.microsoft.com/office/drawing/2014/main" pred="{55E9DDB6-87DE-D163-A950-503D1AC85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600075</xdr:colOff>
      <xdr:row>17</xdr:row>
      <xdr:rowOff>0</xdr:rowOff>
    </xdr:from>
    <xdr:to>
      <xdr:col>5</xdr:col>
      <xdr:colOff>9525</xdr:colOff>
      <xdr:row>31</xdr:row>
      <xdr:rowOff>180975</xdr:rowOff>
    </xdr:to>
    <xdr:graphicFrame macro="">
      <xdr:nvGraphicFramePr>
        <xdr:cNvPr id="2" name="Gráfico 1">
          <a:extLst>
            <a:ext uri="{FF2B5EF4-FFF2-40B4-BE49-F238E27FC236}">
              <a16:creationId xmlns:a16="http://schemas.microsoft.com/office/drawing/2014/main" id="{C1411254-614E-354E-3C01-BC828ECF0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17</xdr:row>
      <xdr:rowOff>0</xdr:rowOff>
    </xdr:from>
    <xdr:to>
      <xdr:col>8</xdr:col>
      <xdr:colOff>0</xdr:colOff>
      <xdr:row>31</xdr:row>
      <xdr:rowOff>171450</xdr:rowOff>
    </xdr:to>
    <xdr:graphicFrame macro="">
      <xdr:nvGraphicFramePr>
        <xdr:cNvPr id="4" name="Gráfico 3">
          <a:extLst>
            <a:ext uri="{FF2B5EF4-FFF2-40B4-BE49-F238E27FC236}">
              <a16:creationId xmlns:a16="http://schemas.microsoft.com/office/drawing/2014/main" id="{96D73A7F-93FE-D374-51BE-1751110694BE}"/>
            </a:ext>
            <a:ext uri="{147F2762-F138-4A5C-976F-8EAC2B608ADB}">
              <a16:predDERef xmlns:a16="http://schemas.microsoft.com/office/drawing/2014/main" pred="{C1411254-614E-354E-3C01-BC828ECF0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17</xdr:row>
      <xdr:rowOff>0</xdr:rowOff>
    </xdr:from>
    <xdr:to>
      <xdr:col>14</xdr:col>
      <xdr:colOff>590550</xdr:colOff>
      <xdr:row>32</xdr:row>
      <xdr:rowOff>0</xdr:rowOff>
    </xdr:to>
    <xdr:graphicFrame macro="">
      <xdr:nvGraphicFramePr>
        <xdr:cNvPr id="5" name="Gráfico 4">
          <a:extLst>
            <a:ext uri="{FF2B5EF4-FFF2-40B4-BE49-F238E27FC236}">
              <a16:creationId xmlns:a16="http://schemas.microsoft.com/office/drawing/2014/main" id="{5C2A2B78-42F6-99A6-064D-4E70BD5E3E15}"/>
            </a:ext>
            <a:ext uri="{147F2762-F138-4A5C-976F-8EAC2B608ADB}">
              <a16:predDERef xmlns:a16="http://schemas.microsoft.com/office/drawing/2014/main" pred="{96D73A7F-93FE-D374-51BE-175111069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9</xdr:row>
      <xdr:rowOff>0</xdr:rowOff>
    </xdr:from>
    <xdr:to>
      <xdr:col>15</xdr:col>
      <xdr:colOff>0</xdr:colOff>
      <xdr:row>17</xdr:row>
      <xdr:rowOff>9525</xdr:rowOff>
    </xdr:to>
    <xdr:graphicFrame macro="">
      <xdr:nvGraphicFramePr>
        <xdr:cNvPr id="6" name="Gráfico 5">
          <a:extLst>
            <a:ext uri="{FF2B5EF4-FFF2-40B4-BE49-F238E27FC236}">
              <a16:creationId xmlns:a16="http://schemas.microsoft.com/office/drawing/2014/main" id="{177F1CB7-A32B-6C69-3B22-81FE56971319}"/>
            </a:ext>
            <a:ext uri="{147F2762-F138-4A5C-976F-8EAC2B608ADB}">
              <a16:predDERef xmlns:a16="http://schemas.microsoft.com/office/drawing/2014/main" pred="{5C2A2B78-42F6-99A6-064D-4E70BD5E3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600075</xdr:colOff>
      <xdr:row>14</xdr:row>
      <xdr:rowOff>219075</xdr:rowOff>
    </xdr:from>
    <xdr:to>
      <xdr:col>2</xdr:col>
      <xdr:colOff>1171575</xdr:colOff>
      <xdr:row>30</xdr:row>
      <xdr:rowOff>0</xdr:rowOff>
    </xdr:to>
    <xdr:graphicFrame macro="">
      <xdr:nvGraphicFramePr>
        <xdr:cNvPr id="2" name="Gráfico 1">
          <a:extLst>
            <a:ext uri="{FF2B5EF4-FFF2-40B4-BE49-F238E27FC236}">
              <a16:creationId xmlns:a16="http://schemas.microsoft.com/office/drawing/2014/main" id="{D79BFF3D-9528-972C-3E42-27A9EF6A6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1152525</xdr:colOff>
      <xdr:row>14</xdr:row>
      <xdr:rowOff>219075</xdr:rowOff>
    </xdr:from>
    <xdr:to>
      <xdr:col>7</xdr:col>
      <xdr:colOff>590550</xdr:colOff>
      <xdr:row>29</xdr:row>
      <xdr:rowOff>180975</xdr:rowOff>
    </xdr:to>
    <xdr:graphicFrame macro="">
      <xdr:nvGraphicFramePr>
        <xdr:cNvPr id="3" name="Gráfico 2">
          <a:extLst>
            <a:ext uri="{FF2B5EF4-FFF2-40B4-BE49-F238E27FC236}">
              <a16:creationId xmlns:a16="http://schemas.microsoft.com/office/drawing/2014/main" id="{95A6F6F0-D2F7-58BF-7053-C6FD26080229}"/>
            </a:ext>
            <a:ext uri="{147F2762-F138-4A5C-976F-8EAC2B608ADB}">
              <a16:predDERef xmlns:a16="http://schemas.microsoft.com/office/drawing/2014/main" pred="{D79BFF3D-9528-972C-3E42-27A9EF6A6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600075</xdr:colOff>
      <xdr:row>14</xdr:row>
      <xdr:rowOff>219075</xdr:rowOff>
    </xdr:from>
    <xdr:to>
      <xdr:col>15</xdr:col>
      <xdr:colOff>19050</xdr:colOff>
      <xdr:row>29</xdr:row>
      <xdr:rowOff>180975</xdr:rowOff>
    </xdr:to>
    <xdr:graphicFrame macro="">
      <xdr:nvGraphicFramePr>
        <xdr:cNvPr id="4" name="Gráfico 3">
          <a:extLst>
            <a:ext uri="{FF2B5EF4-FFF2-40B4-BE49-F238E27FC236}">
              <a16:creationId xmlns:a16="http://schemas.microsoft.com/office/drawing/2014/main" id="{AFA21C5B-A15C-03CB-037A-18DE9ED85DF4}"/>
            </a:ext>
            <a:ext uri="{147F2762-F138-4A5C-976F-8EAC2B608ADB}">
              <a16:predDERef xmlns:a16="http://schemas.microsoft.com/office/drawing/2014/main" pred="{95A6F6F0-D2F7-58BF-7053-C6FD26080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1143000</xdr:colOff>
      <xdr:row>1</xdr:row>
      <xdr:rowOff>361950</xdr:rowOff>
    </xdr:from>
    <xdr:to>
      <xdr:col>11</xdr:col>
      <xdr:colOff>600075</xdr:colOff>
      <xdr:row>13</xdr:row>
      <xdr:rowOff>219075</xdr:rowOff>
    </xdr:to>
    <xdr:graphicFrame macro="">
      <xdr:nvGraphicFramePr>
        <xdr:cNvPr id="5" name="Gráfico 4">
          <a:extLst>
            <a:ext uri="{FF2B5EF4-FFF2-40B4-BE49-F238E27FC236}">
              <a16:creationId xmlns:a16="http://schemas.microsoft.com/office/drawing/2014/main" id="{D4DF1A59-E7C4-88E2-4A8E-9AD340C093B9}"/>
            </a:ext>
            <a:ext uri="{147F2762-F138-4A5C-976F-8EAC2B608ADB}">
              <a16:predDERef xmlns:a16="http://schemas.microsoft.com/office/drawing/2014/main" pred="{AFA21C5B-A15C-03CB-037A-18DE9ED85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600075</xdr:colOff>
      <xdr:row>20</xdr:row>
      <xdr:rowOff>0</xdr:rowOff>
    </xdr:from>
    <xdr:to>
      <xdr:col>3</xdr:col>
      <xdr:colOff>790575</xdr:colOff>
      <xdr:row>34</xdr:row>
      <xdr:rowOff>171450</xdr:rowOff>
    </xdr:to>
    <xdr:graphicFrame macro="">
      <xdr:nvGraphicFramePr>
        <xdr:cNvPr id="2" name="Gráfico 1">
          <a:extLst>
            <a:ext uri="{FF2B5EF4-FFF2-40B4-BE49-F238E27FC236}">
              <a16:creationId xmlns:a16="http://schemas.microsoft.com/office/drawing/2014/main" id="{1507C444-4A0F-9E40-523A-14F0442F8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790575</xdr:colOff>
      <xdr:row>20</xdr:row>
      <xdr:rowOff>0</xdr:rowOff>
    </xdr:from>
    <xdr:to>
      <xdr:col>9</xdr:col>
      <xdr:colOff>581025</xdr:colOff>
      <xdr:row>34</xdr:row>
      <xdr:rowOff>180975</xdr:rowOff>
    </xdr:to>
    <xdr:graphicFrame macro="">
      <xdr:nvGraphicFramePr>
        <xdr:cNvPr id="3" name="Gráfico 2">
          <a:extLst>
            <a:ext uri="{FF2B5EF4-FFF2-40B4-BE49-F238E27FC236}">
              <a16:creationId xmlns:a16="http://schemas.microsoft.com/office/drawing/2014/main" id="{284B1180-EF6C-B9C7-1A22-04E0FB7553E5}"/>
            </a:ext>
            <a:ext uri="{147F2762-F138-4A5C-976F-8EAC2B608ADB}">
              <a16:predDERef xmlns:a16="http://schemas.microsoft.com/office/drawing/2014/main" pred="{1507C444-4A0F-9E40-523A-14F0442F8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590550</xdr:colOff>
      <xdr:row>19</xdr:row>
      <xdr:rowOff>171450</xdr:rowOff>
    </xdr:from>
    <xdr:to>
      <xdr:col>16</xdr:col>
      <xdr:colOff>581025</xdr:colOff>
      <xdr:row>34</xdr:row>
      <xdr:rowOff>180975</xdr:rowOff>
    </xdr:to>
    <xdr:graphicFrame macro="">
      <xdr:nvGraphicFramePr>
        <xdr:cNvPr id="4" name="Gráfico 3">
          <a:extLst>
            <a:ext uri="{FF2B5EF4-FFF2-40B4-BE49-F238E27FC236}">
              <a16:creationId xmlns:a16="http://schemas.microsoft.com/office/drawing/2014/main" id="{01554707-CEF8-0E70-B86B-902E6F9F95C1}"/>
            </a:ext>
            <a:ext uri="{147F2762-F138-4A5C-976F-8EAC2B608ADB}">
              <a16:predDERef xmlns:a16="http://schemas.microsoft.com/office/drawing/2014/main" pred="{284B1180-EF6C-B9C7-1A22-04E0FB755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781050</xdr:colOff>
      <xdr:row>10</xdr:row>
      <xdr:rowOff>0</xdr:rowOff>
    </xdr:from>
    <xdr:to>
      <xdr:col>13</xdr:col>
      <xdr:colOff>581025</xdr:colOff>
      <xdr:row>20</xdr:row>
      <xdr:rowOff>0</xdr:rowOff>
    </xdr:to>
    <xdr:graphicFrame macro="">
      <xdr:nvGraphicFramePr>
        <xdr:cNvPr id="5" name="Gráfico 4">
          <a:extLst>
            <a:ext uri="{FF2B5EF4-FFF2-40B4-BE49-F238E27FC236}">
              <a16:creationId xmlns:a16="http://schemas.microsoft.com/office/drawing/2014/main" id="{E06E1CA0-4700-B5D1-6686-65B907D5DAF0}"/>
            </a:ext>
            <a:ext uri="{147F2762-F138-4A5C-976F-8EAC2B608ADB}">
              <a16:predDERef xmlns:a16="http://schemas.microsoft.com/office/drawing/2014/main" pred="{01554707-CEF8-0E70-B86B-902E6F9F9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23</xdr:row>
      <xdr:rowOff>180975</xdr:rowOff>
    </xdr:from>
    <xdr:to>
      <xdr:col>3</xdr:col>
      <xdr:colOff>809625</xdr:colOff>
      <xdr:row>37</xdr:row>
      <xdr:rowOff>0</xdr:rowOff>
    </xdr:to>
    <xdr:graphicFrame macro="">
      <xdr:nvGraphicFramePr>
        <xdr:cNvPr id="2" name="Gráfico 1">
          <a:extLst>
            <a:ext uri="{FF2B5EF4-FFF2-40B4-BE49-F238E27FC236}">
              <a16:creationId xmlns:a16="http://schemas.microsoft.com/office/drawing/2014/main" id="{CE73AE2D-5577-286F-7E89-847BE7782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800100</xdr:colOff>
      <xdr:row>24</xdr:row>
      <xdr:rowOff>0</xdr:rowOff>
    </xdr:from>
    <xdr:to>
      <xdr:col>10</xdr:col>
      <xdr:colOff>581025</xdr:colOff>
      <xdr:row>37</xdr:row>
      <xdr:rowOff>0</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59EA943D-34D3-7B29-AE1C-6BB4372D9059}"/>
                </a:ext>
                <a:ext uri="{147F2762-F138-4A5C-976F-8EAC2B608ADB}">
                  <a16:predDERef xmlns:a16="http://schemas.microsoft.com/office/drawing/2014/main" pred="{CE73AE2D-5577-286F-7E89-847BE7782C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tu versión de Excel.
Si editas esta forma o guardas el libro en un formato de archivo diferente, el gráfico no se podrá usar.</a:t>
              </a:r>
            </a:p>
          </xdr:txBody>
        </xdr:sp>
      </mc:Fallback>
    </mc:AlternateContent>
    <xdr:clientData/>
  </xdr:twoCellAnchor>
  <xdr:twoCellAnchor>
    <xdr:from>
      <xdr:col>5</xdr:col>
      <xdr:colOff>800100</xdr:colOff>
      <xdr:row>11</xdr:row>
      <xdr:rowOff>180975</xdr:rowOff>
    </xdr:from>
    <xdr:to>
      <xdr:col>13</xdr:col>
      <xdr:colOff>571500</xdr:colOff>
      <xdr:row>24</xdr:row>
      <xdr:rowOff>0</xdr:rowOff>
    </xdr:to>
    <xdr:graphicFrame macro="">
      <xdr:nvGraphicFramePr>
        <xdr:cNvPr id="6" name="Gráfico 5">
          <a:extLst>
            <a:ext uri="{FF2B5EF4-FFF2-40B4-BE49-F238E27FC236}">
              <a16:creationId xmlns:a16="http://schemas.microsoft.com/office/drawing/2014/main" id="{527477FB-2B60-4C47-DE71-26954D77091B}"/>
            </a:ext>
            <a:ext uri="{147F2762-F138-4A5C-976F-8EAC2B608ADB}">
              <a16:predDERef xmlns:a16="http://schemas.microsoft.com/office/drawing/2014/main" pred="{59EA943D-34D3-7B29-AE1C-6BB4372D9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590550</xdr:colOff>
      <xdr:row>24</xdr:row>
      <xdr:rowOff>0</xdr:rowOff>
    </xdr:from>
    <xdr:to>
      <xdr:col>18</xdr:col>
      <xdr:colOff>571500</xdr:colOff>
      <xdr:row>36</xdr:row>
      <xdr:rowOff>180975</xdr:rowOff>
    </xdr:to>
    <xdr:graphicFrame macro="">
      <xdr:nvGraphicFramePr>
        <xdr:cNvPr id="8" name="Gráfico 7">
          <a:extLst>
            <a:ext uri="{FF2B5EF4-FFF2-40B4-BE49-F238E27FC236}">
              <a16:creationId xmlns:a16="http://schemas.microsoft.com/office/drawing/2014/main" id="{40469EEF-0719-F5DF-CC12-378858C9648A}"/>
            </a:ext>
            <a:ext uri="{147F2762-F138-4A5C-976F-8EAC2B608ADB}">
              <a16:predDERef xmlns:a16="http://schemas.microsoft.com/office/drawing/2014/main" pred="{527477FB-2B60-4C47-DE71-26954D770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10</xdr:row>
      <xdr:rowOff>161925</xdr:rowOff>
    </xdr:from>
    <xdr:to>
      <xdr:col>10</xdr:col>
      <xdr:colOff>590550</xdr:colOff>
      <xdr:row>22</xdr:row>
      <xdr:rowOff>180975</xdr:rowOff>
    </xdr:to>
    <xdr:graphicFrame macro="">
      <xdr:nvGraphicFramePr>
        <xdr:cNvPr id="2" name="Gráfico 1">
          <a:extLst>
            <a:ext uri="{FF2B5EF4-FFF2-40B4-BE49-F238E27FC236}">
              <a16:creationId xmlns:a16="http://schemas.microsoft.com/office/drawing/2014/main" id="{B9EB36FD-4767-4F99-A4D0-B25C4610A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180975</xdr:rowOff>
    </xdr:from>
    <xdr:to>
      <xdr:col>4</xdr:col>
      <xdr:colOff>809625</xdr:colOff>
      <xdr:row>37</xdr:row>
      <xdr:rowOff>161925</xdr:rowOff>
    </xdr:to>
    <xdr:graphicFrame macro="">
      <xdr:nvGraphicFramePr>
        <xdr:cNvPr id="3" name="Gráfico 2">
          <a:extLst>
            <a:ext uri="{FF2B5EF4-FFF2-40B4-BE49-F238E27FC236}">
              <a16:creationId xmlns:a16="http://schemas.microsoft.com/office/drawing/2014/main" id="{7AF9677F-DCC1-440B-B45A-96C30EAECABE}"/>
            </a:ext>
            <a:ext uri="{147F2762-F138-4A5C-976F-8EAC2B608ADB}">
              <a16:predDERef xmlns:a16="http://schemas.microsoft.com/office/drawing/2014/main" pred="{B9EB36FD-4767-4F99-A4D0-B25C4610A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23</xdr:row>
      <xdr:rowOff>0</xdr:rowOff>
    </xdr:from>
    <xdr:to>
      <xdr:col>10</xdr:col>
      <xdr:colOff>590550</xdr:colOff>
      <xdr:row>37</xdr:row>
      <xdr:rowOff>180975</xdr:rowOff>
    </xdr:to>
    <xdr:graphicFrame macro="">
      <xdr:nvGraphicFramePr>
        <xdr:cNvPr id="4" name="Gráfico 3">
          <a:extLst>
            <a:ext uri="{FF2B5EF4-FFF2-40B4-BE49-F238E27FC236}">
              <a16:creationId xmlns:a16="http://schemas.microsoft.com/office/drawing/2014/main" id="{6E375D82-47D4-4367-8365-A5445070FC59}"/>
            </a:ext>
            <a:ext uri="{147F2762-F138-4A5C-976F-8EAC2B608ADB}">
              <a16:predDERef xmlns:a16="http://schemas.microsoft.com/office/drawing/2014/main" pred="{7AF9677F-DCC1-440B-B45A-96C30EAEC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0</xdr:row>
      <xdr:rowOff>0</xdr:rowOff>
    </xdr:from>
    <xdr:to>
      <xdr:col>12</xdr:col>
      <xdr:colOff>600075</xdr:colOff>
      <xdr:row>7</xdr:row>
      <xdr:rowOff>19050</xdr:rowOff>
    </xdr:to>
    <xdr:graphicFrame macro="">
      <xdr:nvGraphicFramePr>
        <xdr:cNvPr id="5" name="Gráfico 4">
          <a:extLst>
            <a:ext uri="{FF2B5EF4-FFF2-40B4-BE49-F238E27FC236}">
              <a16:creationId xmlns:a16="http://schemas.microsoft.com/office/drawing/2014/main" id="{6A6043FA-B61B-48D3-AD3C-B54DBAC07458}"/>
            </a:ext>
            <a:ext uri="{147F2762-F138-4A5C-976F-8EAC2B608ADB}">
              <a16:predDERef xmlns:a16="http://schemas.microsoft.com/office/drawing/2014/main" pred="{6E375D82-47D4-4367-8365-A5445070F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0</xdr:colOff>
      <xdr:row>0</xdr:row>
      <xdr:rowOff>0</xdr:rowOff>
    </xdr:from>
    <xdr:to>
      <xdr:col>19</xdr:col>
      <xdr:colOff>0</xdr:colOff>
      <xdr:row>13</xdr:row>
      <xdr:rowOff>38100</xdr:rowOff>
    </xdr:to>
    <xdr:graphicFrame macro="">
      <xdr:nvGraphicFramePr>
        <xdr:cNvPr id="7" name="Gráfico 6">
          <a:extLst>
            <a:ext uri="{FF2B5EF4-FFF2-40B4-BE49-F238E27FC236}">
              <a16:creationId xmlns:a16="http://schemas.microsoft.com/office/drawing/2014/main" id="{FAA98229-0AF9-4E8B-974C-5D613845B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13</xdr:row>
      <xdr:rowOff>33337</xdr:rowOff>
    </xdr:from>
    <xdr:to>
      <xdr:col>19</xdr:col>
      <xdr:colOff>0</xdr:colOff>
      <xdr:row>25</xdr:row>
      <xdr:rowOff>180975</xdr:rowOff>
    </xdr:to>
    <xdr:graphicFrame macro="">
      <xdr:nvGraphicFramePr>
        <xdr:cNvPr id="8" name="Gráfico 7">
          <a:extLst>
            <a:ext uri="{FF2B5EF4-FFF2-40B4-BE49-F238E27FC236}">
              <a16:creationId xmlns:a16="http://schemas.microsoft.com/office/drawing/2014/main" id="{D26A6AE3-CE29-3891-A7D9-E2E1D7ED1F0F}"/>
            </a:ext>
            <a:ext uri="{147F2762-F138-4A5C-976F-8EAC2B608ADB}">
              <a16:predDERef xmlns:a16="http://schemas.microsoft.com/office/drawing/2014/main" pred="{FAA98229-0AF9-4E8B-974C-5D613845B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26</xdr:row>
      <xdr:rowOff>14287</xdr:rowOff>
    </xdr:from>
    <xdr:to>
      <xdr:col>19</xdr:col>
      <xdr:colOff>9525</xdr:colOff>
      <xdr:row>40</xdr:row>
      <xdr:rowOff>9525</xdr:rowOff>
    </xdr:to>
    <xdr:graphicFrame macro="">
      <xdr:nvGraphicFramePr>
        <xdr:cNvPr id="16" name="Gráfico 15">
          <a:extLst>
            <a:ext uri="{FF2B5EF4-FFF2-40B4-BE49-F238E27FC236}">
              <a16:creationId xmlns:a16="http://schemas.microsoft.com/office/drawing/2014/main" id="{ABC46E4B-1B44-249F-6FB1-15260B6C369C}"/>
            </a:ext>
            <a:ext uri="{147F2762-F138-4A5C-976F-8EAC2B608ADB}">
              <a16:predDERef xmlns:a16="http://schemas.microsoft.com/office/drawing/2014/main" pred="{D26A6AE3-CE29-3891-A7D9-E2E1D7ED1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33</xdr:row>
      <xdr:rowOff>9525</xdr:rowOff>
    </xdr:from>
    <xdr:to>
      <xdr:col>13</xdr:col>
      <xdr:colOff>9525</xdr:colOff>
      <xdr:row>40</xdr:row>
      <xdr:rowOff>180975</xdr:rowOff>
    </xdr:to>
    <xdr:graphicFrame macro="">
      <xdr:nvGraphicFramePr>
        <xdr:cNvPr id="18" name="Gráfico 17">
          <a:extLst>
            <a:ext uri="{FF2B5EF4-FFF2-40B4-BE49-F238E27FC236}">
              <a16:creationId xmlns:a16="http://schemas.microsoft.com/office/drawing/2014/main" id="{94A01551-F573-895A-7CB2-1434A658A98E}"/>
            </a:ext>
            <a:ext uri="{147F2762-F138-4A5C-976F-8EAC2B608ADB}">
              <a16:predDERef xmlns:a16="http://schemas.microsoft.com/office/drawing/2014/main" pred="{ABC46E4B-1B44-249F-6FB1-15260B6C3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11</xdr:row>
      <xdr:rowOff>180975</xdr:rowOff>
    </xdr:from>
    <xdr:to>
      <xdr:col>11</xdr:col>
      <xdr:colOff>0</xdr:colOff>
      <xdr:row>27</xdr:row>
      <xdr:rowOff>228600</xdr:rowOff>
    </xdr:to>
    <xdr:graphicFrame macro="">
      <xdr:nvGraphicFramePr>
        <xdr:cNvPr id="3" name="Gráfico 2">
          <a:extLst>
            <a:ext uri="{FF2B5EF4-FFF2-40B4-BE49-F238E27FC236}">
              <a16:creationId xmlns:a16="http://schemas.microsoft.com/office/drawing/2014/main" id="{C1998C01-464F-09D8-3391-E71379A4C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14</xdr:col>
      <xdr:colOff>19050</xdr:colOff>
      <xdr:row>11</xdr:row>
      <xdr:rowOff>180975</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680902F0-4163-47C1-BB28-6DBEDD43C4E1}"/>
                </a:ext>
                <a:ext uri="{147F2762-F138-4A5C-976F-8EAC2B608ADB}">
                  <a16:predDERef xmlns:a16="http://schemas.microsoft.com/office/drawing/2014/main" pred="{C1998C01-464F-09D8-3391-E71379A4C2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tu versión de Excel.
Si editas esta forma o guardas el libro en un formato de archivo diferente, el gráfico no se podrá usar.</a:t>
              </a:r>
            </a:p>
          </xdr:txBody>
        </xdr:sp>
      </mc:Fallback>
    </mc:AlternateContent>
    <xdr:clientData/>
  </xdr:twoCellAnchor>
  <xdr:twoCellAnchor>
    <xdr:from>
      <xdr:col>0</xdr:col>
      <xdr:colOff>0</xdr:colOff>
      <xdr:row>28</xdr:row>
      <xdr:rowOff>0</xdr:rowOff>
    </xdr:from>
    <xdr:to>
      <xdr:col>9</xdr:col>
      <xdr:colOff>9525</xdr:colOff>
      <xdr:row>42</xdr:row>
      <xdr:rowOff>161925</xdr:rowOff>
    </xdr:to>
    <xdr:graphicFrame macro="">
      <xdr:nvGraphicFramePr>
        <xdr:cNvPr id="6" name="Gráfico 5">
          <a:extLst>
            <a:ext uri="{FF2B5EF4-FFF2-40B4-BE49-F238E27FC236}">
              <a16:creationId xmlns:a16="http://schemas.microsoft.com/office/drawing/2014/main" id="{5F86A0AD-D13E-48DB-93C0-7D82C02B1613}"/>
            </a:ext>
            <a:ext uri="{147F2762-F138-4A5C-976F-8EAC2B608ADB}">
              <a16:predDERef xmlns:a16="http://schemas.microsoft.com/office/drawing/2014/main" pred="{680902F0-4163-47C1-BB28-6DBEDD43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714375</xdr:colOff>
      <xdr:row>11</xdr:row>
      <xdr:rowOff>180975</xdr:rowOff>
    </xdr:from>
    <xdr:to>
      <xdr:col>14</xdr:col>
      <xdr:colOff>9525</xdr:colOff>
      <xdr:row>28</xdr:row>
      <xdr:rowOff>28575</xdr:rowOff>
    </xdr:to>
    <xdr:graphicFrame macro="">
      <xdr:nvGraphicFramePr>
        <xdr:cNvPr id="7" name="Gráfico 6">
          <a:extLst>
            <a:ext uri="{FF2B5EF4-FFF2-40B4-BE49-F238E27FC236}">
              <a16:creationId xmlns:a16="http://schemas.microsoft.com/office/drawing/2014/main" id="{1DDE2602-DA54-4BC4-A287-3D260E9C047F}"/>
            </a:ext>
            <a:ext uri="{147F2762-F138-4A5C-976F-8EAC2B608ADB}">
              <a16:predDERef xmlns:a16="http://schemas.microsoft.com/office/drawing/2014/main" pred="{5F86A0AD-D13E-48DB-93C0-7D82C02B1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590550</xdr:colOff>
      <xdr:row>0</xdr:row>
      <xdr:rowOff>0</xdr:rowOff>
    </xdr:from>
    <xdr:to>
      <xdr:col>17</xdr:col>
      <xdr:colOff>9525</xdr:colOff>
      <xdr:row>15</xdr:row>
      <xdr:rowOff>19050</xdr:rowOff>
    </xdr:to>
    <xdr:graphicFrame macro="">
      <xdr:nvGraphicFramePr>
        <xdr:cNvPr id="2" name="Gráfico 1">
          <a:extLst>
            <a:ext uri="{FF2B5EF4-FFF2-40B4-BE49-F238E27FC236}">
              <a16:creationId xmlns:a16="http://schemas.microsoft.com/office/drawing/2014/main" id="{8EE76424-1676-8DAB-80C5-934271218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16</xdr:row>
      <xdr:rowOff>161925</xdr:rowOff>
    </xdr:from>
    <xdr:to>
      <xdr:col>19</xdr:col>
      <xdr:colOff>38100</xdr:colOff>
      <xdr:row>32</xdr:row>
      <xdr:rowOff>0</xdr:rowOff>
    </xdr:to>
    <xdr:graphicFrame macro="">
      <xdr:nvGraphicFramePr>
        <xdr:cNvPr id="3" name="Gráfico 2">
          <a:extLst>
            <a:ext uri="{FF2B5EF4-FFF2-40B4-BE49-F238E27FC236}">
              <a16:creationId xmlns:a16="http://schemas.microsoft.com/office/drawing/2014/main" id="{EA36AB7B-0ECE-512A-4B2A-143102465B37}"/>
            </a:ext>
            <a:ext uri="{147F2762-F138-4A5C-976F-8EAC2B608ADB}">
              <a16:predDERef xmlns:a16="http://schemas.microsoft.com/office/drawing/2014/main" pred="{8EE76424-1676-8DAB-80C5-934271218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17</xdr:row>
      <xdr:rowOff>0</xdr:rowOff>
    </xdr:from>
    <xdr:to>
      <xdr:col>11</xdr:col>
      <xdr:colOff>28575</xdr:colOff>
      <xdr:row>31</xdr:row>
      <xdr:rowOff>180975</xdr:rowOff>
    </xdr:to>
    <xdr:graphicFrame macro="">
      <xdr:nvGraphicFramePr>
        <xdr:cNvPr id="4" name="Gráfico 3">
          <a:extLst>
            <a:ext uri="{FF2B5EF4-FFF2-40B4-BE49-F238E27FC236}">
              <a16:creationId xmlns:a16="http://schemas.microsoft.com/office/drawing/2014/main" id="{7CE776C9-9135-7A58-9FA5-5AB39518912D}"/>
            </a:ext>
            <a:ext uri="{147F2762-F138-4A5C-976F-8EAC2B608ADB}">
              <a16:predDERef xmlns:a16="http://schemas.microsoft.com/office/drawing/2014/main" pred="{EA36AB7B-0ECE-512A-4B2A-143102465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952500</xdr:colOff>
      <xdr:row>17</xdr:row>
      <xdr:rowOff>0</xdr:rowOff>
    </xdr:from>
    <xdr:to>
      <xdr:col>6</xdr:col>
      <xdr:colOff>0</xdr:colOff>
      <xdr:row>31</xdr:row>
      <xdr:rowOff>180975</xdr:rowOff>
    </xdr:to>
    <xdr:graphicFrame macro="">
      <xdr:nvGraphicFramePr>
        <xdr:cNvPr id="7" name="Gráfico 6">
          <a:extLst>
            <a:ext uri="{FF2B5EF4-FFF2-40B4-BE49-F238E27FC236}">
              <a16:creationId xmlns:a16="http://schemas.microsoft.com/office/drawing/2014/main" id="{2A1875AE-E5CC-C8B8-D659-69B949676997}"/>
            </a:ext>
            <a:ext uri="{147F2762-F138-4A5C-976F-8EAC2B608ADB}">
              <a16:predDERef xmlns:a16="http://schemas.microsoft.com/office/drawing/2014/main" pred="{7CE776C9-9135-7A58-9FA5-5AB395189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4</xdr:row>
      <xdr:rowOff>0</xdr:rowOff>
    </xdr:from>
    <xdr:to>
      <xdr:col>8</xdr:col>
      <xdr:colOff>38100</xdr:colOff>
      <xdr:row>13</xdr:row>
      <xdr:rowOff>171450</xdr:rowOff>
    </xdr:to>
    <xdr:graphicFrame macro="">
      <xdr:nvGraphicFramePr>
        <xdr:cNvPr id="2" name="Gráfico 1">
          <a:extLst>
            <a:ext uri="{FF2B5EF4-FFF2-40B4-BE49-F238E27FC236}">
              <a16:creationId xmlns:a16="http://schemas.microsoft.com/office/drawing/2014/main" id="{C700BC0C-69C4-4653-1350-9DDD177FD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9525</xdr:rowOff>
    </xdr:from>
    <xdr:to>
      <xdr:col>7</xdr:col>
      <xdr:colOff>57150</xdr:colOff>
      <xdr:row>38</xdr:row>
      <xdr:rowOff>0</xdr:rowOff>
    </xdr:to>
    <xdr:graphicFrame macro="">
      <xdr:nvGraphicFramePr>
        <xdr:cNvPr id="3" name="Gráfico 2">
          <a:extLst>
            <a:ext uri="{FF2B5EF4-FFF2-40B4-BE49-F238E27FC236}">
              <a16:creationId xmlns:a16="http://schemas.microsoft.com/office/drawing/2014/main" id="{0FF4FD21-24E5-45D6-B2DF-F465BE123F5F}"/>
            </a:ext>
            <a:ext uri="{147F2762-F138-4A5C-976F-8EAC2B608ADB}">
              <a16:predDERef xmlns:a16="http://schemas.microsoft.com/office/drawing/2014/main" pred="{C700BC0C-69C4-4653-1350-9DDD177FD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xdr:colOff>
      <xdr:row>0</xdr:row>
      <xdr:rowOff>0</xdr:rowOff>
    </xdr:from>
    <xdr:to>
      <xdr:col>19</xdr:col>
      <xdr:colOff>38100</xdr:colOff>
      <xdr:row>13</xdr:row>
      <xdr:rowOff>180975</xdr:rowOff>
    </xdr:to>
    <xdr:graphicFrame macro="">
      <xdr:nvGraphicFramePr>
        <xdr:cNvPr id="4" name="Gráfico 3">
          <a:extLst>
            <a:ext uri="{FF2B5EF4-FFF2-40B4-BE49-F238E27FC236}">
              <a16:creationId xmlns:a16="http://schemas.microsoft.com/office/drawing/2014/main" id="{A7000250-38C1-E943-7DF9-47BD469B9847}"/>
            </a:ext>
            <a:ext uri="{147F2762-F138-4A5C-976F-8EAC2B608ADB}">
              <a16:predDERef xmlns:a16="http://schemas.microsoft.com/office/drawing/2014/main" pred="{0FF4FD21-24E5-45D6-B2DF-F465BE123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76200</xdr:colOff>
      <xdr:row>13</xdr:row>
      <xdr:rowOff>171450</xdr:rowOff>
    </xdr:from>
    <xdr:to>
      <xdr:col>19</xdr:col>
      <xdr:colOff>47625</xdr:colOff>
      <xdr:row>28</xdr:row>
      <xdr:rowOff>161925</xdr:rowOff>
    </xdr:to>
    <xdr:graphicFrame macro="">
      <xdr:nvGraphicFramePr>
        <xdr:cNvPr id="5" name="Gráfico 4">
          <a:extLst>
            <a:ext uri="{FF2B5EF4-FFF2-40B4-BE49-F238E27FC236}">
              <a16:creationId xmlns:a16="http://schemas.microsoft.com/office/drawing/2014/main" id="{40B3997B-2E9B-C295-9D5A-F64B7D5A64F2}"/>
            </a:ext>
            <a:ext uri="{147F2762-F138-4A5C-976F-8EAC2B608ADB}">
              <a16:predDERef xmlns:a16="http://schemas.microsoft.com/office/drawing/2014/main" pred="{A7000250-38C1-E943-7DF9-47BD469B9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31</xdr:row>
      <xdr:rowOff>180975</xdr:rowOff>
    </xdr:from>
    <xdr:to>
      <xdr:col>1</xdr:col>
      <xdr:colOff>2428875</xdr:colOff>
      <xdr:row>45</xdr:row>
      <xdr:rowOff>9525</xdr:rowOff>
    </xdr:to>
    <xdr:graphicFrame macro="">
      <xdr:nvGraphicFramePr>
        <xdr:cNvPr id="7" name="Gráfico 6">
          <a:extLst>
            <a:ext uri="{FF2B5EF4-FFF2-40B4-BE49-F238E27FC236}">
              <a16:creationId xmlns:a16="http://schemas.microsoft.com/office/drawing/2014/main" id="{83DFBB76-8A30-7779-DD31-3CF24C33A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25</xdr:row>
      <xdr:rowOff>171450</xdr:rowOff>
    </xdr:from>
    <xdr:to>
      <xdr:col>9</xdr:col>
      <xdr:colOff>590550</xdr:colOff>
      <xdr:row>44</xdr:row>
      <xdr:rowOff>171450</xdr:rowOff>
    </xdr:to>
    <xdr:graphicFrame macro="">
      <xdr:nvGraphicFramePr>
        <xdr:cNvPr id="8" name="Gráfico 7">
          <a:extLst>
            <a:ext uri="{FF2B5EF4-FFF2-40B4-BE49-F238E27FC236}">
              <a16:creationId xmlns:a16="http://schemas.microsoft.com/office/drawing/2014/main" id="{D5685777-BED9-AE4B-3650-2B02447E79DB}"/>
            </a:ext>
            <a:ext uri="{147F2762-F138-4A5C-976F-8EAC2B608ADB}">
              <a16:predDERef xmlns:a16="http://schemas.microsoft.com/office/drawing/2014/main" pred="{83DFBB76-8A30-7779-DD31-3CF24C33A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666750</xdr:colOff>
      <xdr:row>4</xdr:row>
      <xdr:rowOff>371475</xdr:rowOff>
    </xdr:from>
    <xdr:to>
      <xdr:col>16</xdr:col>
      <xdr:colOff>9525</xdr:colOff>
      <xdr:row>25</xdr:row>
      <xdr:rowOff>152400</xdr:rowOff>
    </xdr:to>
    <xdr:graphicFrame macro="">
      <xdr:nvGraphicFramePr>
        <xdr:cNvPr id="9" name="Gráfico 8">
          <a:extLst>
            <a:ext uri="{FF2B5EF4-FFF2-40B4-BE49-F238E27FC236}">
              <a16:creationId xmlns:a16="http://schemas.microsoft.com/office/drawing/2014/main" id="{00362F0C-66C6-14B5-9FC8-293130497003}"/>
            </a:ext>
            <a:ext uri="{147F2762-F138-4A5C-976F-8EAC2B608ADB}">
              <a16:predDERef xmlns:a16="http://schemas.microsoft.com/office/drawing/2014/main" pred="{D5685777-BED9-AE4B-3650-2B02447E7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C94E7C-B345-4524-881F-C5306518F1EB}" name="Tabla5" displayName="Tabla5" ref="B7:G13" totalsRowShown="0" headerRowBorderDxfId="59" tableBorderDxfId="60" totalsRowBorderDxfId="58">
  <autoFilter ref="B7:G13" xr:uid="{BFC94E7C-B345-4524-881F-C5306518F1EB}"/>
  <tableColumns count="6">
    <tableColumn id="1" xr3:uid="{98CA4416-8A12-4205-ACF8-7FEA43A2F792}" name="Vendedor" dataDxfId="57"/>
    <tableColumn id="2" xr3:uid="{FA4F9E52-CB1F-48A6-B17C-E88FF09A5E6E}" name="Trimestre 1" dataDxfId="56" dataCellStyle="Moneda"/>
    <tableColumn id="3" xr3:uid="{413995E4-2363-44B0-BF3C-D8FDAF1018A3}" name="Trimestre 2" dataDxfId="55" dataCellStyle="Moneda"/>
    <tableColumn id="4" xr3:uid="{15032670-9B94-4638-9D6B-D4B045EE5E36}" name="Trimestre 3" dataDxfId="54" dataCellStyle="Moneda"/>
    <tableColumn id="5" xr3:uid="{B2F9D1DD-A68C-42FE-A0A5-2AF8A61BE7BE}" name="Trimestre 4" dataDxfId="53" dataCellStyle="Moneda"/>
    <tableColumn id="6" xr3:uid="{4E0F95E4-2E49-4299-867B-863184E735CA}" name="Venta Total por Vendedor" dataDxfId="52" dataCellStyle="Mone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F8BB9D-9668-4289-B545-DCCAA54435FD}" name="Tabla3" displayName="Tabla3" ref="C8:H13" totalsRowShown="0" headerRowDxfId="51" dataDxfId="50" headerRowBorderDxfId="48" tableBorderDxfId="49" totalsRowBorderDxfId="47">
  <autoFilter ref="C8:H13" xr:uid="{34F8BB9D-9668-4289-B545-DCCAA54435FD}"/>
  <tableColumns count="6">
    <tableColumn id="1" xr3:uid="{26183CF8-2D64-427E-8261-7CCAE4C2E393}" name="ARTICULO" dataDxfId="46"/>
    <tableColumn id="2" xr3:uid="{401AB1F7-BC69-4F2D-B908-6E3FC890B13B}" name="PRECIO" dataDxfId="45"/>
    <tableColumn id="3" xr3:uid="{817292F5-FA52-430A-8F44-0501826E2EB8}" name="CANTIDAD" dataDxfId="44"/>
    <tableColumn id="4" xr3:uid="{137EB3E0-5974-48FB-BC61-15C040DDEEE1}" name="BRUTO" dataDxfId="43">
      <calculatedColumnFormula>(D9*E9)</calculatedColumnFormula>
    </tableColumn>
    <tableColumn id="5" xr3:uid="{79868CBB-7C43-4822-97E3-4458AEC7B2AC}" name="NETO" dataDxfId="42">
      <calculatedColumnFormula>(F9*1.16)</calculatedColumnFormula>
    </tableColumn>
    <tableColumn id="6" xr3:uid="{98CF6370-8562-4975-8BA5-9AA2A0081105}" name="TOTAL" dataDxfId="41">
      <calculatedColumnFormula>SUM(F9:G9)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1F60D2-4CED-4F8C-8E0D-D10EC7814AB8}" name="Tabla4" displayName="Tabla4" ref="F15:H16" totalsRowShown="0" headerRowDxfId="40" headerRowBorderDxfId="38" tableBorderDxfId="39" totalsRowBorderDxfId="37">
  <autoFilter ref="F15:H16" xr:uid="{DE1F60D2-4CED-4F8C-8E0D-D10EC7814AB8}"/>
  <tableColumns count="3">
    <tableColumn id="1" xr3:uid="{575EFD20-2155-45FE-A459-CADEC9B5A5D2}" name="TOT. BRUTO" dataDxfId="36">
      <calculatedColumnFormula>SUM(F9:F13)</calculatedColumnFormula>
    </tableColumn>
    <tableColumn id="2" xr3:uid="{1AC9C407-B949-4FBE-B2EF-C9650A0135A5}" name="TOT. NETO" dataDxfId="35">
      <calculatedColumnFormula>SUM(G9:G13)</calculatedColumnFormula>
    </tableColumn>
    <tableColumn id="3" xr3:uid="{C80E177C-E33E-41F2-B9B7-AB3610E637E5}" name="TOTAL" dataDxfId="34">
      <calculatedColumnFormula>SUM(H9:H13)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410678-C637-4E98-82E5-DDA6BB409FC2}" name="Tabla2" displayName="Tabla2" ref="B9:G23" totalsRowShown="0" headerRowDxfId="33" headerRowBorderDxfId="31" tableBorderDxfId="32" totalsRowBorderDxfId="30">
  <autoFilter ref="B9:G23" xr:uid="{97410678-C637-4E98-82E5-DDA6BB409FC2}"/>
  <tableColumns count="6">
    <tableColumn id="1" xr3:uid="{162B9649-88A5-4003-A7E0-8F503A6E0EE1}" name="VENDEDOR" dataDxfId="29"/>
    <tableColumn id="2" xr3:uid="{E761FE5F-CDB3-498B-BE16-7409C103F9DC}" name="VENTAS" dataDxfId="28"/>
    <tableColumn id="3" xr3:uid="{3D67D408-0023-439F-AB8D-E628B4D273EE}" name="COMISION" dataDxfId="27"/>
    <tableColumn id="4" xr3:uid="{843852EA-85FB-416A-A015-21F808F2C411}" name="BASE" dataDxfId="26"/>
    <tableColumn id="5" xr3:uid="{400C66EE-9201-4D28-A361-F25E3E4D794B}" name="TOTAL" dataDxfId="25"/>
    <tableColumn id="6" xr3:uid="{552D4730-1117-42CF-9336-55DC8321E5E3}" name="%VENDEDOR" dataDxfId="2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06970-2DA4-4053-AF12-A64209609613}" name="Tabla1" displayName="Tabla1" ref="B12:F17" totalsRowShown="0" headerRowDxfId="23" dataDxfId="22" headerRowBorderDxfId="20" tableBorderDxfId="21" totalsRowBorderDxfId="19">
  <autoFilter ref="B12:F17" xr:uid="{82206970-2DA4-4053-AF12-A64209609613}"/>
  <tableColumns count="5">
    <tableColumn id="1" xr3:uid="{F655EE76-5A5D-443D-A73A-39A6D24F4DD4}" name="AÑOS" dataDxfId="18"/>
    <tableColumn id="2" xr3:uid="{DA1E6256-B6A0-4B38-B1C7-F1A7E889C521}" name="1998" dataDxfId="17"/>
    <tableColumn id="3" xr3:uid="{C5102E0E-EEE5-45A5-B9D9-1CD38148F74B}" name="1999" dataDxfId="16"/>
    <tableColumn id="4" xr3:uid="{45A08E18-2662-46EF-AAB8-77298B93D09A}" name="2000" dataDxfId="15"/>
    <tableColumn id="5" xr3:uid="{15B2BD2C-20F8-49E7-A5FF-68A5AEE3A924}" name="TOTAL" dataDxfId="14">
      <calculatedColumnFormula>SUM(Tabla1[[#This Row],[1998]:[2000]])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AD5E9E-2AB9-45AA-96E5-065FEFBB80A0}" name="Tabla6" displayName="Tabla6" ref="B6:E12" totalsRowShown="0" headerRowDxfId="13" dataDxfId="12">
  <autoFilter ref="B6:E12" xr:uid="{79AD5E9E-2AB9-45AA-96E5-065FEFBB80A0}"/>
  <tableColumns count="4">
    <tableColumn id="1" xr3:uid="{D1A681C2-4E6A-4B07-AA41-05ECBA812AA9}" name="RESULTADOS POR PRODUCTOS" dataDxfId="11"/>
    <tableColumn id="2" xr3:uid="{698BB8BA-F49D-4CC7-BD09-D5279B66A32D}" name="PROD. A" dataDxfId="10"/>
    <tableColumn id="3" xr3:uid="{F081CDE2-5096-4424-90E9-6969C0D59AC7}" name="PROD. B" dataDxfId="9"/>
    <tableColumn id="4" xr3:uid="{D5B8A7D7-7783-43E4-94B6-1BE54F28C9B5}" name="TOTAL" dataDxfId="8">
      <calculatedColumnFormula>SUM(Tabla6[[#This Row],[PROD. A]]+Tabla6[[#This Row],[PROD. B]])</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F9891A0-0BFF-4923-B353-744A6D4ADD48}" name="Tabla7" displayName="Tabla7" ref="B12:G20" totalsRowShown="0" headerRowDxfId="7" dataDxfId="6">
  <autoFilter ref="B12:G20" xr:uid="{EF9891A0-0BFF-4923-B353-744A6D4ADD48}"/>
  <tableColumns count="6">
    <tableColumn id="1" xr3:uid="{C6A0D965-44E2-4457-9BDF-8492A7CD9E82}" name="NOMBRE" dataDxfId="5"/>
    <tableColumn id="2" xr3:uid="{B3EB03FF-820B-4BA1-9665-CDEB1565ACA8}" name="SUELDO BRUTO" dataDxfId="4"/>
    <tableColumn id="3" xr3:uid="{C076510C-A29F-4FC3-839C-F1688D20BF4A}" name="IRPF" dataDxfId="3">
      <calculatedColumnFormula>C13*0.15</calculatedColumnFormula>
    </tableColumn>
    <tableColumn id="4" xr3:uid="{7BD26A75-AA17-41D8-A61C-34882B1C8E1F}" name="SS" dataDxfId="2">
      <calculatedColumnFormula>C13*0.02</calculatedColumnFormula>
    </tableColumn>
    <tableColumn id="5" xr3:uid="{A4EC70BF-A818-4CAA-ADDA-A28166F84017}" name="SUELDO NETO" dataDxfId="1">
      <calculatedColumnFormula>Tabla7[[#This Row],[SUELDO BRUTO]]-Tabla7[[#This Row],[IRPF]]-Tabla7[[#This Row],[SS]]</calculatedColumnFormula>
    </tableColumn>
    <tableColumn id="6" xr3:uid="{88789A61-A056-4433-B7A3-CB5B581CF28C}" name="PAGAS" dataDxfId="0">
      <calculatedColumnFormula>Tabla7[[#This Row],[SUELDO NETO]]/15</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1AA3F49-4582-4D21-8F57-DC4F7E731B5A}" name="Tabla8" displayName="Tabla8" ref="B15:E24" totalsRowShown="0">
  <autoFilter ref="B15:E24" xr:uid="{11AA3F49-4582-4D21-8F57-DC4F7E731B5A}"/>
  <tableColumns count="4">
    <tableColumn id="1" xr3:uid="{9B0312F2-CF49-4B2C-9EB6-717E867CD612}" name=" "/>
    <tableColumn id="2" xr3:uid="{0D0CD0FC-F563-4D26-B7FD-D742D8D5F8D8}" name="Tn 1994"/>
    <tableColumn id="3" xr3:uid="{4EC5C11E-57A1-44EC-832D-4B21591BBE82}" name="Tn 1995"/>
    <tableColumn id="4" xr3:uid="{9EC943EF-6178-4074-82DB-27843E0ED782}" name="TOTAL"/>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07F9D7D-00A2-4316-85F9-DEFBA46CCB11}" name="Tabla9" displayName="Tabla9" ref="F15:F24" totalsRowShown="0">
  <autoFilter ref="F15:F24" xr:uid="{A07F9D7D-00A2-4316-85F9-DEFBA46CCB11}"/>
  <tableColumns count="1">
    <tableColumn id="1" xr3:uid="{9E39E35D-8ECE-4A50-8F1C-D13C5E9E9851}" name="MEDIA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5AA6-6CEF-4EB6-8045-CBF5A0175720}">
  <sheetPr codeName="Hoja1"/>
  <dimension ref="B1:Y29"/>
  <sheetViews>
    <sheetView workbookViewId="0">
      <selection activeCell="E5" sqref="E5"/>
    </sheetView>
  </sheetViews>
  <sheetFormatPr defaultColWidth="11.42578125" defaultRowHeight="15"/>
  <cols>
    <col min="2" max="2" width="19.28515625" customWidth="1"/>
    <col min="3" max="6" width="23.140625" bestFit="1" customWidth="1"/>
    <col min="7" max="7" width="36.5703125" customWidth="1"/>
    <col min="8" max="8" width="16.28515625" bestFit="1" customWidth="1"/>
    <col min="9" max="9" width="16.85546875" bestFit="1" customWidth="1"/>
  </cols>
  <sheetData>
    <row r="1" spans="2:25">
      <c r="B1" s="100" t="s">
        <v>0</v>
      </c>
      <c r="C1" s="100"/>
      <c r="D1" s="100"/>
    </row>
    <row r="2" spans="2:25" ht="23.25" customHeight="1">
      <c r="B2" s="100"/>
      <c r="C2" s="100"/>
      <c r="D2" s="100"/>
    </row>
    <row r="3" spans="2:25" ht="15.75" customHeight="1">
      <c r="B3" s="99" t="s">
        <v>1</v>
      </c>
      <c r="C3" s="99"/>
      <c r="D3" s="99"/>
      <c r="E3" s="99"/>
      <c r="F3" s="99"/>
      <c r="G3" s="99"/>
      <c r="H3" s="99"/>
      <c r="I3" s="99"/>
      <c r="J3" s="99"/>
      <c r="K3" s="99"/>
      <c r="L3" s="99"/>
      <c r="M3" s="99"/>
      <c r="N3" s="99"/>
      <c r="O3" s="99"/>
      <c r="P3" s="99"/>
      <c r="Q3" s="99"/>
      <c r="R3" s="99"/>
      <c r="S3" s="99"/>
      <c r="T3" s="99"/>
    </row>
    <row r="4" spans="2:25" ht="15" customHeight="1">
      <c r="B4" s="2"/>
      <c r="C4" s="2"/>
      <c r="D4" s="2"/>
      <c r="E4" s="2"/>
      <c r="F4" s="2"/>
      <c r="G4" s="2"/>
      <c r="H4" s="2"/>
      <c r="I4" s="2"/>
      <c r="J4" s="2"/>
      <c r="K4" s="2"/>
      <c r="L4" s="2"/>
      <c r="M4" s="2"/>
      <c r="N4" s="2"/>
    </row>
    <row r="5" spans="2:25" ht="15" customHeight="1">
      <c r="B5" s="98" t="s">
        <v>2</v>
      </c>
      <c r="C5" s="98"/>
      <c r="D5" s="8"/>
      <c r="E5" s="8"/>
      <c r="F5" s="8"/>
      <c r="G5" s="8"/>
      <c r="H5" s="8"/>
      <c r="I5" s="8"/>
      <c r="J5" s="2"/>
      <c r="K5" s="2"/>
      <c r="L5" s="2"/>
      <c r="M5" s="2"/>
      <c r="N5" s="2"/>
    </row>
    <row r="6" spans="2:25">
      <c r="B6" s="9"/>
      <c r="C6" s="9"/>
      <c r="D6" s="9"/>
      <c r="E6" s="9"/>
      <c r="F6" s="9"/>
      <c r="G6" s="9"/>
      <c r="H6" s="9"/>
      <c r="I6" s="9"/>
    </row>
    <row r="7" spans="2:25" ht="18.75">
      <c r="B7" s="46" t="s">
        <v>3</v>
      </c>
      <c r="C7" s="47" t="s">
        <v>4</v>
      </c>
      <c r="D7" s="47" t="s">
        <v>5</v>
      </c>
      <c r="E7" s="47" t="s">
        <v>6</v>
      </c>
      <c r="F7" s="47" t="s">
        <v>7</v>
      </c>
      <c r="G7" s="48" t="s">
        <v>8</v>
      </c>
    </row>
    <row r="8" spans="2:25" ht="18.75">
      <c r="B8" s="16" t="s">
        <v>9</v>
      </c>
      <c r="C8" s="10">
        <v>1500000</v>
      </c>
      <c r="D8" s="10">
        <v>2000000</v>
      </c>
      <c r="E8" s="10">
        <v>1850000</v>
      </c>
      <c r="F8" s="10">
        <v>2100000</v>
      </c>
      <c r="G8" s="17">
        <f>SUM(C8:F8)</f>
        <v>7450000</v>
      </c>
    </row>
    <row r="9" spans="2:25" ht="18.75">
      <c r="B9" s="16" t="s">
        <v>10</v>
      </c>
      <c r="C9" s="10">
        <v>1200000</v>
      </c>
      <c r="D9" s="10">
        <v>1340000</v>
      </c>
      <c r="E9" s="10">
        <v>1750000</v>
      </c>
      <c r="F9" s="10">
        <v>1800000</v>
      </c>
      <c r="G9" s="17">
        <f t="shared" ref="G9:G12" si="0">SUM(C9:F9)</f>
        <v>6090000</v>
      </c>
    </row>
    <row r="10" spans="2:25" ht="18.75">
      <c r="B10" s="16" t="s">
        <v>11</v>
      </c>
      <c r="C10" s="10">
        <v>1460000</v>
      </c>
      <c r="D10" s="10">
        <v>1700000</v>
      </c>
      <c r="E10" s="10">
        <v>1900000</v>
      </c>
      <c r="F10" s="10">
        <v>2000000</v>
      </c>
      <c r="G10" s="17">
        <f t="shared" si="0"/>
        <v>7060000</v>
      </c>
    </row>
    <row r="11" spans="2:25" ht="18.75">
      <c r="B11" s="16" t="s">
        <v>12</v>
      </c>
      <c r="C11" s="10">
        <v>1100000</v>
      </c>
      <c r="D11" s="10">
        <v>1600000</v>
      </c>
      <c r="E11" s="10">
        <v>1640000</v>
      </c>
      <c r="F11" s="10">
        <v>1700000</v>
      </c>
      <c r="G11" s="17">
        <f t="shared" si="0"/>
        <v>6040000</v>
      </c>
    </row>
    <row r="12" spans="2:25" ht="18.75">
      <c r="B12" s="16" t="s">
        <v>13</v>
      </c>
      <c r="C12" s="11">
        <f>SUM(C8:C11)</f>
        <v>5260000</v>
      </c>
      <c r="D12" s="11">
        <f>SUM(D8:D11)</f>
        <v>6640000</v>
      </c>
      <c r="E12" s="11">
        <f>SUM(E8:E11)</f>
        <v>7140000</v>
      </c>
      <c r="F12" s="11">
        <f>SUM(F8:F11)</f>
        <v>7600000</v>
      </c>
      <c r="G12" s="17">
        <f t="shared" si="0"/>
        <v>26640000</v>
      </c>
    </row>
    <row r="13" spans="2:25" ht="18.75">
      <c r="B13" s="49" t="s">
        <v>14</v>
      </c>
      <c r="C13" s="50">
        <f>AVERAGE(C8:C12)</f>
        <v>2104000</v>
      </c>
      <c r="D13" s="50">
        <f t="shared" ref="D13:F13" si="1">AVERAGE(D8:D12)</f>
        <v>2656000</v>
      </c>
      <c r="E13" s="50">
        <f t="shared" si="1"/>
        <v>2856000</v>
      </c>
      <c r="F13" s="50">
        <f t="shared" si="1"/>
        <v>3040000</v>
      </c>
      <c r="G13" s="51">
        <f>AVERAGE(G8:G12)</f>
        <v>10656000</v>
      </c>
    </row>
    <row r="14" spans="2:25" ht="18.75">
      <c r="B14" s="52"/>
      <c r="C14" s="53"/>
      <c r="D14" s="53"/>
      <c r="E14" s="53"/>
      <c r="F14" s="53"/>
      <c r="G14" s="102"/>
      <c r="H14" s="102"/>
      <c r="I14" s="102"/>
      <c r="J14" s="54"/>
      <c r="K14" s="54"/>
    </row>
    <row r="15" spans="2:25" ht="21" customHeight="1">
      <c r="B15" s="103" t="s">
        <v>15</v>
      </c>
      <c r="C15" s="103"/>
      <c r="D15" s="103"/>
      <c r="E15" s="103"/>
      <c r="F15" s="103"/>
      <c r="G15" s="103"/>
      <c r="H15" s="103"/>
      <c r="I15" s="103"/>
      <c r="J15" s="103"/>
      <c r="K15" s="103"/>
    </row>
    <row r="16" spans="2:25" ht="20.25">
      <c r="B16" s="99" t="s">
        <v>16</v>
      </c>
      <c r="C16" s="99"/>
      <c r="D16" s="99"/>
      <c r="E16" s="99"/>
      <c r="H16" s="101" t="s">
        <v>17</v>
      </c>
      <c r="I16" s="101"/>
      <c r="J16" s="101"/>
      <c r="K16" s="101"/>
      <c r="N16" s="99" t="s">
        <v>18</v>
      </c>
      <c r="O16" s="99"/>
      <c r="P16" s="99"/>
      <c r="Q16" s="99"/>
      <c r="R16" s="99"/>
      <c r="S16" s="99"/>
      <c r="U16" s="99" t="s">
        <v>19</v>
      </c>
      <c r="V16" s="99"/>
      <c r="W16" s="99"/>
      <c r="X16" s="99"/>
      <c r="Y16" s="99"/>
    </row>
    <row r="17" spans="2:16" ht="21">
      <c r="B17" s="7"/>
      <c r="C17" s="7"/>
      <c r="D17" s="7"/>
      <c r="E17" s="7"/>
    </row>
    <row r="18" spans="2:16" ht="21">
      <c r="B18" s="7"/>
      <c r="C18" s="7"/>
      <c r="D18" s="7"/>
      <c r="E18" s="7"/>
    </row>
    <row r="19" spans="2:16" ht="21">
      <c r="B19" s="7"/>
      <c r="C19" s="7"/>
      <c r="D19" s="7"/>
      <c r="E19" s="7"/>
    </row>
    <row r="20" spans="2:16" ht="21">
      <c r="G20" s="6"/>
      <c r="H20" s="6"/>
      <c r="I20" s="6"/>
    </row>
    <row r="21" spans="2:16" ht="21">
      <c r="H21" s="6"/>
      <c r="I21" s="6"/>
    </row>
    <row r="26" spans="2:16">
      <c r="M26" s="1"/>
    </row>
    <row r="27" spans="2:16" ht="21">
      <c r="M27" s="7"/>
      <c r="N27" s="7"/>
      <c r="O27" s="7"/>
      <c r="P27" s="7"/>
    </row>
    <row r="28" spans="2:16" ht="21">
      <c r="M28" s="7"/>
      <c r="N28" s="7"/>
      <c r="O28" s="7"/>
      <c r="P28" s="7"/>
    </row>
    <row r="29" spans="2:16" ht="21">
      <c r="M29" s="7"/>
      <c r="N29" s="7"/>
      <c r="O29" s="7"/>
      <c r="P29" s="7"/>
    </row>
  </sheetData>
  <mergeCells count="9">
    <mergeCell ref="B5:C5"/>
    <mergeCell ref="B16:E16"/>
    <mergeCell ref="B1:D2"/>
    <mergeCell ref="B3:T3"/>
    <mergeCell ref="U16:Y16"/>
    <mergeCell ref="N16:S16"/>
    <mergeCell ref="H16:K16"/>
    <mergeCell ref="G14:I14"/>
    <mergeCell ref="B15:K15"/>
  </mergeCells>
  <phoneticPr fontId="5" type="noConversion"/>
  <pageMargins left="0.7" right="0.7" top="0.75" bottom="0.75" header="0.3" footer="0.3"/>
  <pageSetup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63F9-0B71-42C6-BFE6-88717EE3D59B}">
  <sheetPr codeName="Hoja2"/>
  <dimension ref="C2:M35"/>
  <sheetViews>
    <sheetView workbookViewId="0">
      <selection activeCell="D14" sqref="D14"/>
    </sheetView>
  </sheetViews>
  <sheetFormatPr defaultColWidth="11.42578125" defaultRowHeight="15"/>
  <cols>
    <col min="3" max="3" width="24.5703125" customWidth="1"/>
    <col min="4" max="4" width="16.85546875" customWidth="1"/>
    <col min="5" max="5" width="18.7109375" customWidth="1"/>
    <col min="6" max="6" width="20.42578125" customWidth="1"/>
    <col min="7" max="7" width="18.28515625" customWidth="1"/>
    <col min="8" max="8" width="17.28515625" customWidth="1"/>
  </cols>
  <sheetData>
    <row r="2" spans="3:13" ht="30.75">
      <c r="C2" s="104" t="s">
        <v>20</v>
      </c>
      <c r="D2" s="104"/>
      <c r="E2" s="104"/>
    </row>
    <row r="4" spans="3:13" ht="20.25">
      <c r="C4" s="103" t="s">
        <v>21</v>
      </c>
      <c r="D4" s="103"/>
      <c r="E4" s="103"/>
      <c r="F4" s="103"/>
      <c r="G4" s="103"/>
      <c r="H4" s="103"/>
      <c r="I4" s="103"/>
      <c r="J4" s="103"/>
      <c r="K4" s="103"/>
      <c r="L4" s="103"/>
      <c r="M4" s="103"/>
    </row>
    <row r="5" spans="3:13" ht="20.25">
      <c r="C5" s="103" t="s">
        <v>22</v>
      </c>
      <c r="D5" s="103"/>
      <c r="E5" s="103"/>
      <c r="F5" s="103"/>
      <c r="G5" s="103"/>
      <c r="H5" s="103"/>
      <c r="I5" s="103"/>
    </row>
    <row r="6" spans="3:13" ht="20.25">
      <c r="C6" s="93" t="s">
        <v>23</v>
      </c>
      <c r="D6" s="93"/>
      <c r="E6" s="93"/>
      <c r="F6" s="93"/>
      <c r="G6" s="93"/>
      <c r="H6" s="93"/>
      <c r="I6" s="93"/>
    </row>
    <row r="8" spans="3:13" ht="20.25">
      <c r="C8" s="36" t="s">
        <v>24</v>
      </c>
      <c r="D8" s="37" t="s">
        <v>25</v>
      </c>
      <c r="E8" s="37" t="s">
        <v>26</v>
      </c>
      <c r="F8" s="37" t="s">
        <v>27</v>
      </c>
      <c r="G8" s="37" t="s">
        <v>28</v>
      </c>
      <c r="H8" s="38" t="s">
        <v>29</v>
      </c>
    </row>
    <row r="9" spans="3:13" ht="20.25">
      <c r="C9" s="34" t="s">
        <v>30</v>
      </c>
      <c r="D9" s="13">
        <v>29900</v>
      </c>
      <c r="E9" s="12">
        <v>2</v>
      </c>
      <c r="F9" s="12">
        <f>(D9*E9)</f>
        <v>59800</v>
      </c>
      <c r="G9" s="12">
        <f>(F9*1.16)</f>
        <v>69368</v>
      </c>
      <c r="H9" s="35">
        <f>SUM(F9:G9)</f>
        <v>129168</v>
      </c>
    </row>
    <row r="10" spans="3:13" ht="20.25">
      <c r="C10" s="34" t="s">
        <v>31</v>
      </c>
      <c r="D10" s="13">
        <v>110000</v>
      </c>
      <c r="E10" s="12">
        <v>4</v>
      </c>
      <c r="F10" s="12">
        <f t="shared" ref="F10:F13" si="0">(D10*E10)</f>
        <v>440000</v>
      </c>
      <c r="G10" s="12">
        <f t="shared" ref="G10:G13" si="1">(F10*1.16)</f>
        <v>510399.99999999994</v>
      </c>
      <c r="H10" s="35">
        <f t="shared" ref="H10:H13" si="2">SUM(F10:G10)</f>
        <v>950400</v>
      </c>
    </row>
    <row r="11" spans="3:13" ht="20.25">
      <c r="C11" s="34" t="s">
        <v>32</v>
      </c>
      <c r="D11" s="13">
        <v>52000</v>
      </c>
      <c r="E11" s="12">
        <v>4</v>
      </c>
      <c r="F11" s="12">
        <f t="shared" si="0"/>
        <v>208000</v>
      </c>
      <c r="G11" s="12">
        <f t="shared" si="1"/>
        <v>241279.99999999997</v>
      </c>
      <c r="H11" s="35">
        <f t="shared" si="2"/>
        <v>449280</v>
      </c>
    </row>
    <row r="12" spans="3:13" ht="20.25">
      <c r="C12" s="34" t="s">
        <v>33</v>
      </c>
      <c r="D12" s="13">
        <v>600</v>
      </c>
      <c r="E12" s="12">
        <v>4</v>
      </c>
      <c r="F12" s="12">
        <f t="shared" si="0"/>
        <v>2400</v>
      </c>
      <c r="G12" s="12">
        <f t="shared" si="1"/>
        <v>2784</v>
      </c>
      <c r="H12" s="35">
        <f t="shared" si="2"/>
        <v>5184</v>
      </c>
    </row>
    <row r="13" spans="3:13" ht="20.25">
      <c r="C13" s="39" t="s">
        <v>34</v>
      </c>
      <c r="D13" s="40">
        <v>1500</v>
      </c>
      <c r="E13" s="41">
        <v>4</v>
      </c>
      <c r="F13" s="41">
        <f t="shared" si="0"/>
        <v>6000</v>
      </c>
      <c r="G13" s="41">
        <f t="shared" si="1"/>
        <v>6959.9999999999991</v>
      </c>
      <c r="H13" s="42">
        <f t="shared" si="2"/>
        <v>12960</v>
      </c>
    </row>
    <row r="14" spans="3:13" ht="20.25">
      <c r="C14" s="14"/>
      <c r="D14" s="14"/>
      <c r="E14" s="14"/>
      <c r="F14" s="14"/>
      <c r="G14" s="14"/>
      <c r="H14" s="14"/>
    </row>
    <row r="15" spans="3:13" ht="20.25">
      <c r="C15" s="14"/>
      <c r="D15" s="14"/>
      <c r="E15" s="14"/>
      <c r="F15" s="43" t="s">
        <v>35</v>
      </c>
      <c r="G15" s="44" t="s">
        <v>36</v>
      </c>
      <c r="H15" s="45" t="s">
        <v>29</v>
      </c>
    </row>
    <row r="16" spans="3:13" ht="20.25">
      <c r="C16" s="14"/>
      <c r="D16" s="14"/>
      <c r="E16" s="14"/>
      <c r="F16" s="39">
        <f>SUM(F9:F13)</f>
        <v>716200</v>
      </c>
      <c r="G16" s="41">
        <f>SUM(G9:G13)</f>
        <v>830792</v>
      </c>
      <c r="H16" s="42">
        <f>SUM(H9:H13)</f>
        <v>1546992</v>
      </c>
    </row>
    <row r="17" spans="3:6" ht="20.25">
      <c r="C17" s="103" t="s">
        <v>37</v>
      </c>
      <c r="D17" s="103"/>
      <c r="E17" s="103"/>
      <c r="F17" s="103"/>
    </row>
    <row r="35" spans="5:5">
      <c r="E35" t="s">
        <v>38</v>
      </c>
    </row>
  </sheetData>
  <mergeCells count="4">
    <mergeCell ref="C17:F17"/>
    <mergeCell ref="C2:E2"/>
    <mergeCell ref="C4:M4"/>
    <mergeCell ref="C5:I5"/>
  </mergeCells>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8CE60-363B-40CC-8AC6-1633941EB305}">
  <sheetPr codeName="Hoja3"/>
  <dimension ref="B2:Y23"/>
  <sheetViews>
    <sheetView workbookViewId="0">
      <selection activeCell="G16" sqref="G16"/>
    </sheetView>
  </sheetViews>
  <sheetFormatPr defaultColWidth="11.42578125" defaultRowHeight="15"/>
  <cols>
    <col min="2" max="2" width="17.140625" customWidth="1"/>
    <col min="4" max="4" width="12.5703125" bestFit="1" customWidth="1"/>
    <col min="7" max="7" width="14.85546875" customWidth="1"/>
  </cols>
  <sheetData>
    <row r="2" spans="2:25" ht="30.75">
      <c r="B2" s="104" t="s">
        <v>39</v>
      </c>
      <c r="C2" s="104"/>
      <c r="D2" s="104"/>
    </row>
    <row r="4" spans="2:25" ht="20.25">
      <c r="B4" s="106" t="s">
        <v>40</v>
      </c>
      <c r="C4" s="106"/>
      <c r="D4" s="106"/>
      <c r="E4" s="106"/>
      <c r="F4" s="106"/>
      <c r="G4" s="106"/>
      <c r="H4" s="106"/>
      <c r="I4" s="106"/>
      <c r="J4" s="106"/>
      <c r="K4" s="106"/>
      <c r="L4" s="106"/>
      <c r="M4" s="106"/>
      <c r="N4" s="3"/>
      <c r="O4" s="3"/>
      <c r="P4" s="3"/>
      <c r="Q4" s="3"/>
      <c r="R4" s="3"/>
      <c r="S4" s="3"/>
      <c r="T4" s="3"/>
      <c r="U4" s="3"/>
      <c r="V4" s="3"/>
      <c r="W4" s="3"/>
      <c r="X4" s="3"/>
      <c r="Y4" s="3"/>
    </row>
    <row r="5" spans="2:25" ht="15" customHeight="1">
      <c r="B5" s="106"/>
      <c r="C5" s="106"/>
      <c r="D5" s="106"/>
      <c r="E5" s="106"/>
      <c r="F5" s="106"/>
      <c r="G5" s="106"/>
      <c r="H5" s="106"/>
      <c r="I5" s="106"/>
      <c r="J5" s="106"/>
      <c r="K5" s="106"/>
      <c r="L5" s="106"/>
      <c r="M5" s="106"/>
      <c r="N5" s="3"/>
      <c r="O5" s="3"/>
      <c r="P5" s="3"/>
      <c r="Q5" s="3"/>
      <c r="R5" s="3"/>
      <c r="S5" s="3"/>
      <c r="T5" s="3"/>
      <c r="U5" s="3"/>
      <c r="V5" s="3"/>
      <c r="W5" s="3"/>
      <c r="X5" s="3"/>
      <c r="Y5" s="3"/>
    </row>
    <row r="6" spans="2:25" ht="15" customHeight="1">
      <c r="B6" s="106"/>
      <c r="C6" s="106"/>
      <c r="D6" s="106"/>
      <c r="E6" s="106"/>
      <c r="F6" s="106"/>
      <c r="G6" s="106"/>
      <c r="H6" s="106"/>
      <c r="I6" s="106"/>
      <c r="J6" s="106"/>
      <c r="K6" s="106"/>
      <c r="L6" s="106"/>
      <c r="M6" s="106"/>
      <c r="N6" s="3"/>
      <c r="O6" s="3"/>
      <c r="P6" s="3"/>
      <c r="Q6" s="3"/>
      <c r="R6" s="3"/>
      <c r="S6" s="3"/>
      <c r="T6" s="3"/>
      <c r="U6" s="3"/>
      <c r="V6" s="3"/>
      <c r="W6" s="3"/>
      <c r="X6" s="3"/>
      <c r="Y6" s="3"/>
    </row>
    <row r="8" spans="2:25" ht="23.25">
      <c r="B8" s="105" t="s">
        <v>41</v>
      </c>
      <c r="C8" s="105"/>
      <c r="D8" s="105"/>
    </row>
    <row r="9" spans="2:25">
      <c r="B9" s="28" t="s">
        <v>42</v>
      </c>
      <c r="C9" s="29" t="s">
        <v>43</v>
      </c>
      <c r="D9" s="29" t="s">
        <v>44</v>
      </c>
      <c r="E9" s="29" t="s">
        <v>45</v>
      </c>
      <c r="F9" s="29" t="s">
        <v>29</v>
      </c>
      <c r="G9" s="30" t="s">
        <v>46</v>
      </c>
    </row>
    <row r="10" spans="2:25">
      <c r="B10" s="26" t="s">
        <v>47</v>
      </c>
      <c r="C10" s="5">
        <v>4600000</v>
      </c>
      <c r="D10" s="4">
        <f>(C10*2%)</f>
        <v>92000</v>
      </c>
      <c r="E10" s="5">
        <v>90000</v>
      </c>
      <c r="F10" s="5">
        <f>SUM(C10:E10)</f>
        <v>4782000</v>
      </c>
      <c r="G10" s="27">
        <f>SUM(E10+D10)</f>
        <v>182000</v>
      </c>
    </row>
    <row r="11" spans="2:25">
      <c r="B11" s="26" t="s">
        <v>48</v>
      </c>
      <c r="C11" s="5">
        <v>6000000</v>
      </c>
      <c r="D11" s="4">
        <f t="shared" ref="D11:D22" si="0">(C11*2%)</f>
        <v>120000</v>
      </c>
      <c r="E11" s="5">
        <v>90000</v>
      </c>
      <c r="F11" s="5">
        <f t="shared" ref="F11:F22" si="1">SUM(C11:E11)</f>
        <v>6210000</v>
      </c>
      <c r="G11" s="27">
        <f t="shared" ref="G11:G22" si="2">SUM(E11+D11)</f>
        <v>210000</v>
      </c>
    </row>
    <row r="12" spans="2:25">
      <c r="B12" s="26" t="s">
        <v>49</v>
      </c>
      <c r="C12" s="5">
        <v>3900000</v>
      </c>
      <c r="D12" s="4">
        <f t="shared" si="0"/>
        <v>78000</v>
      </c>
      <c r="E12" s="5">
        <v>90000</v>
      </c>
      <c r="F12" s="5">
        <f t="shared" si="1"/>
        <v>4068000</v>
      </c>
      <c r="G12" s="27">
        <f t="shared" si="2"/>
        <v>168000</v>
      </c>
    </row>
    <row r="13" spans="2:25">
      <c r="B13" s="26" t="s">
        <v>50</v>
      </c>
      <c r="C13" s="5">
        <v>7600000</v>
      </c>
      <c r="D13" s="4">
        <f t="shared" si="0"/>
        <v>152000</v>
      </c>
      <c r="E13" s="5">
        <v>90000</v>
      </c>
      <c r="F13" s="5">
        <f t="shared" si="1"/>
        <v>7842000</v>
      </c>
      <c r="G13" s="27">
        <f t="shared" si="2"/>
        <v>242000</v>
      </c>
    </row>
    <row r="14" spans="2:25">
      <c r="B14" s="26" t="s">
        <v>51</v>
      </c>
      <c r="C14" s="5">
        <v>8250000</v>
      </c>
      <c r="D14" s="4">
        <f t="shared" si="0"/>
        <v>165000</v>
      </c>
      <c r="E14" s="5">
        <v>90000</v>
      </c>
      <c r="F14" s="5">
        <f t="shared" si="1"/>
        <v>8505000</v>
      </c>
      <c r="G14" s="27">
        <f t="shared" si="2"/>
        <v>255000</v>
      </c>
    </row>
    <row r="15" spans="2:25">
      <c r="B15" s="26" t="s">
        <v>52</v>
      </c>
      <c r="C15" s="5">
        <v>3500000</v>
      </c>
      <c r="D15" s="4">
        <f t="shared" si="0"/>
        <v>70000</v>
      </c>
      <c r="E15" s="5">
        <v>90000</v>
      </c>
      <c r="F15" s="5">
        <f t="shared" si="1"/>
        <v>3660000</v>
      </c>
      <c r="G15" s="27">
        <f t="shared" si="2"/>
        <v>160000</v>
      </c>
    </row>
    <row r="16" spans="2:25">
      <c r="B16" s="26" t="s">
        <v>53</v>
      </c>
      <c r="C16" s="5">
        <v>5350000</v>
      </c>
      <c r="D16" s="4">
        <f t="shared" si="0"/>
        <v>107000</v>
      </c>
      <c r="E16" s="5">
        <v>90000</v>
      </c>
      <c r="F16" s="5">
        <f t="shared" si="1"/>
        <v>5547000</v>
      </c>
      <c r="G16" s="27">
        <f t="shared" si="2"/>
        <v>197000</v>
      </c>
    </row>
    <row r="17" spans="2:7">
      <c r="B17" s="26" t="s">
        <v>54</v>
      </c>
      <c r="C17" s="5">
        <v>4200000</v>
      </c>
      <c r="D17" s="4">
        <f t="shared" si="0"/>
        <v>84000</v>
      </c>
      <c r="E17" s="5">
        <v>90000</v>
      </c>
      <c r="F17" s="5">
        <f t="shared" si="1"/>
        <v>4374000</v>
      </c>
      <c r="G17" s="27">
        <f t="shared" si="2"/>
        <v>174000</v>
      </c>
    </row>
    <row r="18" spans="2:7">
      <c r="B18" s="26" t="s">
        <v>55</v>
      </c>
      <c r="C18" s="5">
        <v>7900000</v>
      </c>
      <c r="D18" s="4">
        <f t="shared" si="0"/>
        <v>158000</v>
      </c>
      <c r="E18" s="5">
        <v>90000</v>
      </c>
      <c r="F18" s="5">
        <f t="shared" si="1"/>
        <v>8148000</v>
      </c>
      <c r="G18" s="27">
        <f t="shared" si="2"/>
        <v>248000</v>
      </c>
    </row>
    <row r="19" spans="2:7">
      <c r="B19" s="26" t="s">
        <v>56</v>
      </c>
      <c r="C19" s="5">
        <v>6780000</v>
      </c>
      <c r="D19" s="4">
        <f t="shared" si="0"/>
        <v>135600</v>
      </c>
      <c r="E19" s="5">
        <v>90000</v>
      </c>
      <c r="F19" s="5">
        <f t="shared" si="1"/>
        <v>7005600</v>
      </c>
      <c r="G19" s="27">
        <f t="shared" si="2"/>
        <v>225600</v>
      </c>
    </row>
    <row r="20" spans="2:7">
      <c r="B20" s="26" t="s">
        <v>57</v>
      </c>
      <c r="C20" s="5">
        <v>4690000</v>
      </c>
      <c r="D20" s="4">
        <f t="shared" si="0"/>
        <v>93800</v>
      </c>
      <c r="E20" s="5">
        <v>90000</v>
      </c>
      <c r="F20" s="5">
        <f t="shared" si="1"/>
        <v>4873800</v>
      </c>
      <c r="G20" s="27">
        <f t="shared" si="2"/>
        <v>183800</v>
      </c>
    </row>
    <row r="21" spans="2:7">
      <c r="B21" s="26" t="s">
        <v>58</v>
      </c>
      <c r="C21" s="5">
        <v>3000000</v>
      </c>
      <c r="D21" s="4">
        <f t="shared" si="0"/>
        <v>60000</v>
      </c>
      <c r="E21" s="5">
        <v>90000</v>
      </c>
      <c r="F21" s="5">
        <f t="shared" si="1"/>
        <v>3150000</v>
      </c>
      <c r="G21" s="27">
        <f t="shared" si="2"/>
        <v>150000</v>
      </c>
    </row>
    <row r="22" spans="2:7">
      <c r="B22" s="26" t="s">
        <v>59</v>
      </c>
      <c r="C22" s="5">
        <v>3100000</v>
      </c>
      <c r="D22" s="4">
        <f t="shared" si="0"/>
        <v>62000</v>
      </c>
      <c r="E22" s="5">
        <v>90000</v>
      </c>
      <c r="F22" s="5">
        <f t="shared" si="1"/>
        <v>3252000</v>
      </c>
      <c r="G22" s="27">
        <f t="shared" si="2"/>
        <v>152000</v>
      </c>
    </row>
    <row r="23" spans="2:7">
      <c r="B23" s="31" t="s">
        <v>60</v>
      </c>
      <c r="C23" s="32">
        <f>SUM(C10:C22)</f>
        <v>68870000</v>
      </c>
      <c r="D23" s="32">
        <f t="shared" ref="D23:G23" si="3">SUM(D10:D22)</f>
        <v>1377400</v>
      </c>
      <c r="E23" s="32">
        <f t="shared" si="3"/>
        <v>1170000</v>
      </c>
      <c r="F23" s="32">
        <f t="shared" si="3"/>
        <v>71417400</v>
      </c>
      <c r="G23" s="33">
        <f t="shared" si="3"/>
        <v>2547400</v>
      </c>
    </row>
  </sheetData>
  <mergeCells count="3">
    <mergeCell ref="B8:D8"/>
    <mergeCell ref="B2:D2"/>
    <mergeCell ref="B4:M6"/>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95CA-0778-46C8-9FF8-6F336C6992B4}">
  <sheetPr codeName="Hoja4"/>
  <dimension ref="B2:R17"/>
  <sheetViews>
    <sheetView workbookViewId="0">
      <selection activeCell="B4" sqref="B4"/>
    </sheetView>
  </sheetViews>
  <sheetFormatPr defaultColWidth="9.140625" defaultRowHeight="15"/>
  <cols>
    <col min="2" max="2" width="20.5703125" customWidth="1"/>
    <col min="3" max="3" width="14" customWidth="1"/>
    <col min="4" max="4" width="12.28515625" customWidth="1"/>
    <col min="5" max="5" width="12.140625" customWidth="1"/>
    <col min="6" max="6" width="36.5703125" bestFit="1" customWidth="1"/>
  </cols>
  <sheetData>
    <row r="2" spans="2:18" ht="30.75">
      <c r="B2" s="104" t="s">
        <v>61</v>
      </c>
      <c r="C2" s="104"/>
      <c r="D2" s="104"/>
    </row>
    <row r="4" spans="2:18" ht="18.75">
      <c r="B4" s="107" t="s">
        <v>62</v>
      </c>
      <c r="C4" s="107"/>
      <c r="D4" s="107"/>
      <c r="E4" s="107"/>
      <c r="F4" s="107"/>
      <c r="G4" s="107"/>
      <c r="H4" s="107"/>
      <c r="I4" s="107"/>
      <c r="J4" s="107"/>
      <c r="K4" s="107"/>
      <c r="L4" s="107"/>
      <c r="M4" s="107"/>
      <c r="N4" s="107"/>
      <c r="O4" s="107"/>
      <c r="P4" s="107"/>
    </row>
    <row r="5" spans="2:18" ht="18.75">
      <c r="B5" s="107" t="s">
        <v>63</v>
      </c>
      <c r="C5" s="107"/>
      <c r="D5" s="107"/>
      <c r="E5" s="107"/>
      <c r="F5" s="107"/>
    </row>
    <row r="6" spans="2:18" ht="18.75">
      <c r="B6" s="107" t="s">
        <v>64</v>
      </c>
      <c r="C6" s="107"/>
      <c r="D6" s="107"/>
      <c r="E6" s="107"/>
      <c r="F6" s="107"/>
      <c r="G6" s="107"/>
      <c r="H6" s="107"/>
      <c r="I6" s="107"/>
    </row>
    <row r="7" spans="2:18" ht="18.75">
      <c r="B7" s="15" t="s">
        <v>65</v>
      </c>
      <c r="C7" s="15"/>
      <c r="D7" s="15"/>
      <c r="E7" s="15"/>
      <c r="F7" s="15"/>
      <c r="G7" s="15"/>
      <c r="H7" s="15"/>
      <c r="I7" s="15"/>
      <c r="J7" s="15"/>
    </row>
    <row r="8" spans="2:18" ht="18.75">
      <c r="B8" s="107" t="s">
        <v>66</v>
      </c>
      <c r="C8" s="107"/>
      <c r="D8" s="107"/>
      <c r="E8" s="107"/>
      <c r="F8" s="107"/>
      <c r="G8" s="107"/>
      <c r="H8" s="107"/>
      <c r="I8" s="107"/>
    </row>
    <row r="9" spans="2:18" ht="18.75">
      <c r="B9" s="107" t="s">
        <v>67</v>
      </c>
      <c r="C9" s="107"/>
      <c r="D9" s="107"/>
      <c r="E9" s="107"/>
      <c r="F9" s="107"/>
      <c r="G9" s="107"/>
      <c r="H9" s="107"/>
      <c r="I9" s="107"/>
      <c r="J9" s="107"/>
      <c r="K9" s="107"/>
      <c r="L9" s="107"/>
      <c r="M9" s="107"/>
      <c r="N9" s="107"/>
      <c r="O9" s="107"/>
      <c r="P9" s="107"/>
      <c r="Q9" s="107"/>
      <c r="R9" s="107"/>
    </row>
    <row r="10" spans="2:18" ht="18.75">
      <c r="B10" s="15"/>
      <c r="C10" s="15"/>
      <c r="D10" s="15"/>
      <c r="E10" s="15"/>
      <c r="F10" s="15"/>
      <c r="G10" s="15"/>
      <c r="H10" s="15"/>
      <c r="I10" s="15"/>
      <c r="J10" s="15"/>
      <c r="K10" s="15"/>
      <c r="L10" s="15"/>
      <c r="M10" s="15"/>
      <c r="N10" s="15"/>
    </row>
    <row r="12" spans="2:18" ht="18.75">
      <c r="B12" s="21" t="s">
        <v>68</v>
      </c>
      <c r="C12" s="22" t="s">
        <v>69</v>
      </c>
      <c r="D12" s="22" t="s">
        <v>70</v>
      </c>
      <c r="E12" s="22" t="s">
        <v>71</v>
      </c>
      <c r="F12" s="23" t="s">
        <v>29</v>
      </c>
    </row>
    <row r="13" spans="2:18" ht="18.75">
      <c r="B13" s="19" t="s">
        <v>72</v>
      </c>
      <c r="C13" s="18">
        <v>24.247</v>
      </c>
      <c r="D13" s="18">
        <v>27.254999999999999</v>
      </c>
      <c r="E13" s="18">
        <v>36.152999999999999</v>
      </c>
      <c r="F13" s="20">
        <f>SUM(Tabla1[[#This Row],[1998]:[2000]])</f>
        <v>87.655000000000001</v>
      </c>
    </row>
    <row r="14" spans="2:18" ht="18.75">
      <c r="B14" s="19" t="s">
        <v>73</v>
      </c>
      <c r="C14" s="18">
        <f>(C13/F13)*100</f>
        <v>27.661856140551023</v>
      </c>
      <c r="D14" s="18">
        <f>(D13/F13)*100</f>
        <v>31.093491529290969</v>
      </c>
      <c r="E14" s="18">
        <f>(E13/F13)*100</f>
        <v>41.244652330158004</v>
      </c>
      <c r="F14" s="20">
        <f>SUM(Tabla1[[#This Row],[1998]:[2000]])</f>
        <v>100</v>
      </c>
    </row>
    <row r="15" spans="2:18" ht="18.75">
      <c r="B15" s="19" t="s">
        <v>74</v>
      </c>
      <c r="C15" s="18">
        <v>29.963000000000001</v>
      </c>
      <c r="D15" s="18">
        <v>35.39</v>
      </c>
      <c r="E15" s="18">
        <v>51.942999999999998</v>
      </c>
      <c r="F15" s="20">
        <f>SUM(Tabla1[[#This Row],[1998]:[2000]])</f>
        <v>117.29600000000001</v>
      </c>
    </row>
    <row r="16" spans="2:18" ht="18.75">
      <c r="B16" s="19" t="s">
        <v>73</v>
      </c>
      <c r="C16" s="55">
        <f>(C15/F15)*100</f>
        <v>25.5447756104215</v>
      </c>
      <c r="D16" s="55">
        <f>(D15/F15)*100</f>
        <v>30.171531851043515</v>
      </c>
      <c r="E16" s="55">
        <f>(E15/F15)*100</f>
        <v>44.283692538534986</v>
      </c>
      <c r="F16" s="20">
        <f>SUM(Tabla1[[#This Row],[1998]:[2000]])</f>
        <v>100</v>
      </c>
    </row>
    <row r="17" spans="2:6" ht="56.25">
      <c r="B17" s="24" t="s">
        <v>75</v>
      </c>
      <c r="C17" s="25">
        <f>(C16-C14)</f>
        <v>-2.1170805301295239</v>
      </c>
      <c r="D17" s="25">
        <f t="shared" ref="D17:E17" si="0">(D16-D14)</f>
        <v>-0.92195967824745395</v>
      </c>
      <c r="E17" s="25">
        <f t="shared" si="0"/>
        <v>3.0390402083769814</v>
      </c>
      <c r="F17" s="20">
        <f>SUM(Tabla1[[#This Row],[1998]:[2000]])</f>
        <v>3.5527136788005009E-15</v>
      </c>
    </row>
  </sheetData>
  <mergeCells count="6">
    <mergeCell ref="B8:I8"/>
    <mergeCell ref="B5:F5"/>
    <mergeCell ref="B9:R9"/>
    <mergeCell ref="B2:D2"/>
    <mergeCell ref="B4:P4"/>
    <mergeCell ref="B6:I6"/>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65565-7B92-4B4E-8110-88CCE5632E94}">
  <sheetPr codeName="Hoja5"/>
  <dimension ref="B2:H16"/>
  <sheetViews>
    <sheetView workbookViewId="0">
      <selection activeCell="C9" sqref="C9"/>
    </sheetView>
  </sheetViews>
  <sheetFormatPr defaultColWidth="9.140625" defaultRowHeight="15"/>
  <cols>
    <col min="2" max="2" width="42" customWidth="1"/>
    <col min="3" max="3" width="17.7109375" customWidth="1"/>
    <col min="4" max="4" width="16.7109375" customWidth="1"/>
    <col min="5" max="5" width="17.28515625" customWidth="1"/>
    <col min="6" max="6" width="12.28515625" bestFit="1" customWidth="1"/>
  </cols>
  <sheetData>
    <row r="2" spans="2:8" ht="30.75">
      <c r="B2" s="104" t="s">
        <v>76</v>
      </c>
      <c r="C2" s="104"/>
      <c r="D2" s="104"/>
    </row>
    <row r="4" spans="2:8" ht="18.75">
      <c r="B4" s="107" t="s">
        <v>77</v>
      </c>
      <c r="C4" s="107"/>
      <c r="D4" s="107"/>
      <c r="E4" s="107"/>
      <c r="F4" s="107"/>
      <c r="G4" s="107"/>
    </row>
    <row r="6" spans="2:8" ht="18.75">
      <c r="B6" s="15" t="s">
        <v>78</v>
      </c>
      <c r="C6" s="15" t="s">
        <v>79</v>
      </c>
      <c r="D6" s="15" t="s">
        <v>80</v>
      </c>
      <c r="E6" s="15" t="s">
        <v>29</v>
      </c>
    </row>
    <row r="7" spans="2:8" ht="18.75">
      <c r="B7" s="15" t="s">
        <v>81</v>
      </c>
      <c r="C7" s="15">
        <v>50</v>
      </c>
      <c r="D7" s="15">
        <v>55</v>
      </c>
      <c r="E7" s="15">
        <f>SUM(Tabla6[[#This Row],[PROD. A]]+Tabla6[[#This Row],[PROD. B]])</f>
        <v>105</v>
      </c>
    </row>
    <row r="8" spans="2:8" ht="18.75">
      <c r="B8" s="15" t="s">
        <v>82</v>
      </c>
      <c r="C8" s="15">
        <v>5.5</v>
      </c>
      <c r="D8" s="15">
        <v>7.2</v>
      </c>
      <c r="E8" s="15">
        <f>SUM(Tabla6[[#This Row],[PROD. A]]+Tabla6[[#This Row],[PROD. B]])</f>
        <v>12.7</v>
      </c>
    </row>
    <row r="9" spans="2:8" ht="18.75">
      <c r="B9" s="15" t="s">
        <v>83</v>
      </c>
      <c r="C9" s="15">
        <f>(C7-C8)</f>
        <v>44.5</v>
      </c>
      <c r="D9" s="15">
        <f>(D7-D8)</f>
        <v>47.8</v>
      </c>
      <c r="E9" s="15">
        <f>SUM(Tabla6[[#This Row],[PROD. A]]+Tabla6[[#This Row],[PROD. B]])</f>
        <v>92.3</v>
      </c>
    </row>
    <row r="10" spans="2:8" ht="18.75">
      <c r="B10" s="15" t="s">
        <v>84</v>
      </c>
      <c r="C10" s="15">
        <v>10.5</v>
      </c>
      <c r="D10" s="15">
        <v>5</v>
      </c>
      <c r="E10" s="15">
        <f>SUM(Tabla6[[#This Row],[PROD. A]]+Tabla6[[#This Row],[PROD. B]])</f>
        <v>15.5</v>
      </c>
    </row>
    <row r="11" spans="2:8" ht="18.75">
      <c r="B11" s="15" t="s">
        <v>85</v>
      </c>
      <c r="C11" s="15">
        <v>9</v>
      </c>
      <c r="D11" s="15">
        <v>7.3</v>
      </c>
      <c r="E11" s="15">
        <f>SUM(Tabla6[[#This Row],[PROD. A]]+Tabla6[[#This Row],[PROD. B]])</f>
        <v>16.3</v>
      </c>
    </row>
    <row r="12" spans="2:8" ht="18.75">
      <c r="B12" s="15" t="s">
        <v>86</v>
      </c>
      <c r="C12" s="15">
        <f>(C9-C10-C11)</f>
        <v>25</v>
      </c>
      <c r="D12" s="15">
        <f>(D9-D10-D11)</f>
        <v>35.5</v>
      </c>
      <c r="E12" s="15">
        <f>SUM(Tabla6[[#This Row],[PROD. A]]+Tabla6[[#This Row],[PROD. B]])</f>
        <v>60.5</v>
      </c>
    </row>
    <row r="14" spans="2:8" ht="18.75">
      <c r="B14" s="107" t="s">
        <v>87</v>
      </c>
      <c r="C14" s="107"/>
      <c r="D14" s="107"/>
      <c r="E14" s="107"/>
      <c r="F14" s="107"/>
    </row>
    <row r="15" spans="2:8" ht="18.75">
      <c r="B15" s="107" t="s">
        <v>88</v>
      </c>
      <c r="C15" s="107"/>
      <c r="D15" s="107"/>
      <c r="E15" s="107"/>
      <c r="F15" s="107"/>
      <c r="G15" s="107"/>
      <c r="H15" s="107"/>
    </row>
    <row r="16" spans="2:8">
      <c r="B16" s="56"/>
    </row>
  </sheetData>
  <mergeCells count="4">
    <mergeCell ref="B2:D2"/>
    <mergeCell ref="B4:G4"/>
    <mergeCell ref="B14:F14"/>
    <mergeCell ref="B15:H15"/>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E179-EA3D-4320-BE4A-1FB1D9D7C3E8}">
  <sheetPr codeName="Hoja6"/>
  <dimension ref="B2:L20"/>
  <sheetViews>
    <sheetView topLeftCell="A4" workbookViewId="0">
      <selection activeCell="G16" sqref="G16"/>
    </sheetView>
  </sheetViews>
  <sheetFormatPr defaultColWidth="9.140625" defaultRowHeight="15"/>
  <cols>
    <col min="2" max="2" width="36.5703125" bestFit="1" customWidth="1"/>
    <col min="3" max="3" width="19.5703125" customWidth="1"/>
    <col min="4" max="5" width="12.28515625" bestFit="1" customWidth="1"/>
    <col min="6" max="6" width="17.28515625" customWidth="1"/>
    <col min="7" max="7" width="11.85546875" customWidth="1"/>
  </cols>
  <sheetData>
    <row r="2" spans="2:12" ht="30.75">
      <c r="B2" s="104" t="s">
        <v>89</v>
      </c>
      <c r="C2" s="104"/>
      <c r="D2" s="104"/>
    </row>
    <row r="4" spans="2:12" ht="18.75">
      <c r="B4" s="107" t="s">
        <v>90</v>
      </c>
      <c r="C4" s="107"/>
      <c r="D4" s="107"/>
      <c r="E4" s="107"/>
    </row>
    <row r="5" spans="2:12">
      <c r="B5" s="108" t="s">
        <v>91</v>
      </c>
      <c r="C5" s="107"/>
      <c r="D5" s="107"/>
      <c r="E5" s="107"/>
      <c r="F5" s="107"/>
      <c r="G5" s="107"/>
      <c r="H5" s="107"/>
      <c r="I5" s="107"/>
      <c r="J5" s="107"/>
      <c r="K5" s="107"/>
      <c r="L5" s="107"/>
    </row>
    <row r="6" spans="2:12">
      <c r="B6" s="107"/>
      <c r="C6" s="107"/>
      <c r="D6" s="107"/>
      <c r="E6" s="107"/>
      <c r="F6" s="107"/>
      <c r="G6" s="107"/>
      <c r="H6" s="107"/>
      <c r="I6" s="107"/>
      <c r="J6" s="107"/>
      <c r="K6" s="107"/>
      <c r="L6" s="107"/>
    </row>
    <row r="7" spans="2:12">
      <c r="B7" s="107"/>
      <c r="C7" s="107"/>
      <c r="D7" s="107"/>
      <c r="E7" s="107"/>
      <c r="F7" s="107"/>
      <c r="G7" s="107"/>
      <c r="H7" s="107"/>
      <c r="I7" s="107"/>
      <c r="J7" s="107"/>
      <c r="K7" s="107"/>
      <c r="L7" s="107"/>
    </row>
    <row r="8" spans="2:12" ht="18.75" customHeight="1">
      <c r="B8" s="108" t="s">
        <v>92</v>
      </c>
      <c r="C8" s="108"/>
      <c r="D8" s="108"/>
      <c r="E8" s="108"/>
      <c r="F8" s="108"/>
      <c r="G8" s="108"/>
      <c r="H8" s="108"/>
      <c r="I8" s="108"/>
      <c r="J8" s="108"/>
      <c r="K8" s="108"/>
      <c r="L8" s="108"/>
    </row>
    <row r="9" spans="2:12">
      <c r="B9" s="108"/>
      <c r="C9" s="108"/>
      <c r="D9" s="108"/>
      <c r="E9" s="108"/>
      <c r="F9" s="108"/>
      <c r="G9" s="108"/>
      <c r="H9" s="108"/>
      <c r="I9" s="108"/>
      <c r="J9" s="108"/>
      <c r="K9" s="108"/>
      <c r="L9" s="108"/>
    </row>
    <row r="10" spans="2:12" ht="18.75">
      <c r="B10" s="107" t="s">
        <v>93</v>
      </c>
      <c r="C10" s="107"/>
      <c r="D10" s="107"/>
      <c r="E10" s="107"/>
      <c r="F10" s="107"/>
      <c r="G10" s="107"/>
      <c r="H10" s="107"/>
      <c r="I10" s="107"/>
      <c r="J10" s="107"/>
      <c r="K10" s="107"/>
      <c r="L10" s="107"/>
    </row>
    <row r="12" spans="2:12">
      <c r="B12" s="9" t="s">
        <v>94</v>
      </c>
      <c r="C12" s="9" t="s">
        <v>95</v>
      </c>
      <c r="D12" s="9" t="s">
        <v>96</v>
      </c>
      <c r="E12" s="9" t="s">
        <v>97</v>
      </c>
      <c r="F12" s="9" t="s">
        <v>98</v>
      </c>
      <c r="G12" s="9" t="s">
        <v>99</v>
      </c>
    </row>
    <row r="13" spans="2:12">
      <c r="B13" s="9" t="s">
        <v>100</v>
      </c>
      <c r="C13" s="57">
        <v>1200000</v>
      </c>
      <c r="D13" s="9">
        <f t="shared" ref="D13:D19" si="0">C13*0.15</f>
        <v>180000</v>
      </c>
      <c r="E13" s="9">
        <f t="shared" ref="E13:E19" si="1">C13*0.02</f>
        <v>24000</v>
      </c>
      <c r="F13" s="57">
        <f>Tabla7[[#This Row],[SUELDO BRUTO]]-Tabla7[[#This Row],[IRPF]]-Tabla7[[#This Row],[SS]]</f>
        <v>996000</v>
      </c>
      <c r="G13" s="9">
        <f>Tabla7[[#This Row],[SUELDO NETO]]/15</f>
        <v>66400</v>
      </c>
    </row>
    <row r="14" spans="2:12">
      <c r="B14" s="9" t="s">
        <v>101</v>
      </c>
      <c r="C14" s="57">
        <v>1250000</v>
      </c>
      <c r="D14" s="9">
        <f>C14*0.15</f>
        <v>187500</v>
      </c>
      <c r="E14" s="9">
        <f>C14*0.02</f>
        <v>25000</v>
      </c>
      <c r="F14" s="57">
        <f>Tabla7[[#This Row],[SUELDO BRUTO]]-Tabla7[[#This Row],[IRPF]]-Tabla7[[#This Row],[SS]]</f>
        <v>1037500</v>
      </c>
      <c r="G14" s="9">
        <f>Tabla7[[#This Row],[SUELDO NETO]]/15</f>
        <v>69166.666666666672</v>
      </c>
    </row>
    <row r="15" spans="2:12">
      <c r="B15" s="9" t="s">
        <v>102</v>
      </c>
      <c r="C15" s="57">
        <v>1320000</v>
      </c>
      <c r="D15" s="9">
        <f>C15*0.15</f>
        <v>198000</v>
      </c>
      <c r="E15" s="9">
        <f t="shared" si="1"/>
        <v>26400</v>
      </c>
      <c r="F15" s="57">
        <f>Tabla7[[#This Row],[SUELDO BRUTO]]-Tabla7[[#This Row],[IRPF]]-Tabla7[[#This Row],[SS]]</f>
        <v>1095600</v>
      </c>
      <c r="G15" s="9">
        <f>Tabla7[[#This Row],[SUELDO NETO]]/15</f>
        <v>73040</v>
      </c>
    </row>
    <row r="16" spans="2:12">
      <c r="B16" s="9" t="s">
        <v>103</v>
      </c>
      <c r="C16" s="57">
        <v>1100000</v>
      </c>
      <c r="D16" s="9">
        <f t="shared" si="0"/>
        <v>165000</v>
      </c>
      <c r="E16" s="9">
        <f t="shared" si="1"/>
        <v>22000</v>
      </c>
      <c r="F16" s="57">
        <f>Tabla7[[#This Row],[SUELDO BRUTO]]-Tabla7[[#This Row],[IRPF]]-Tabla7[[#This Row],[SS]]</f>
        <v>913000</v>
      </c>
      <c r="G16" s="9">
        <f>Tabla7[[#This Row],[SUELDO NETO]]/15</f>
        <v>60866.666666666664</v>
      </c>
    </row>
    <row r="17" spans="2:7">
      <c r="B17" s="9" t="s">
        <v>104</v>
      </c>
      <c r="C17" s="57">
        <v>2300000</v>
      </c>
      <c r="D17" s="9">
        <f t="shared" si="0"/>
        <v>345000</v>
      </c>
      <c r="E17" s="9">
        <f t="shared" si="1"/>
        <v>46000</v>
      </c>
      <c r="F17" s="57">
        <f>Tabla7[[#This Row],[SUELDO BRUTO]]-Tabla7[[#This Row],[IRPF]]-Tabla7[[#This Row],[SS]]</f>
        <v>1909000</v>
      </c>
      <c r="G17" s="9">
        <f>Tabla7[[#This Row],[SUELDO NETO]]/15</f>
        <v>127266.66666666667</v>
      </c>
    </row>
    <row r="18" spans="2:7">
      <c r="B18" s="9" t="s">
        <v>105</v>
      </c>
      <c r="C18" s="57">
        <v>2340000</v>
      </c>
      <c r="D18" s="9">
        <f t="shared" si="0"/>
        <v>351000</v>
      </c>
      <c r="E18" s="9">
        <f t="shared" si="1"/>
        <v>46800</v>
      </c>
      <c r="F18" s="57">
        <f>Tabla7[[#This Row],[SUELDO BRUTO]]-Tabla7[[#This Row],[IRPF]]-Tabla7[[#This Row],[SS]]</f>
        <v>1942200</v>
      </c>
      <c r="G18" s="9">
        <f>Tabla7[[#This Row],[SUELDO NETO]]/15</f>
        <v>129480</v>
      </c>
    </row>
    <row r="19" spans="2:7">
      <c r="B19" s="9" t="s">
        <v>106</v>
      </c>
      <c r="C19" s="57">
        <v>3400000</v>
      </c>
      <c r="D19" s="9">
        <f t="shared" si="0"/>
        <v>510000</v>
      </c>
      <c r="E19" s="9">
        <f t="shared" si="1"/>
        <v>68000</v>
      </c>
      <c r="F19" s="57">
        <f>Tabla7[[#This Row],[SUELDO BRUTO]]-Tabla7[[#This Row],[IRPF]]-Tabla7[[#This Row],[SS]]</f>
        <v>2822000</v>
      </c>
      <c r="G19" s="9">
        <f>Tabla7[[#This Row],[SUELDO NETO]]/15</f>
        <v>188133.33333333334</v>
      </c>
    </row>
    <row r="20" spans="2:7">
      <c r="B20" s="9" t="s">
        <v>60</v>
      </c>
      <c r="C20" s="57">
        <f>SUM(C13:C19)</f>
        <v>12910000</v>
      </c>
      <c r="D20" s="57">
        <f>SUM(D13:D19)</f>
        <v>1936500</v>
      </c>
      <c r="E20" s="57">
        <f>SUM(E13:E19)</f>
        <v>258200</v>
      </c>
      <c r="F20" s="57">
        <f t="shared" ref="F20:G20" si="2">SUM(F13:F19)</f>
        <v>10715300</v>
      </c>
      <c r="G20" s="57">
        <f t="shared" si="2"/>
        <v>714353.33333333337</v>
      </c>
    </row>
  </sheetData>
  <mergeCells count="5">
    <mergeCell ref="B10:L10"/>
    <mergeCell ref="B2:D2"/>
    <mergeCell ref="B5:L7"/>
    <mergeCell ref="B4:E4"/>
    <mergeCell ref="B8:L9"/>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68859-AA6B-4858-AB3D-EB7FAB6B11E8}">
  <sheetPr codeName="Hoja7"/>
  <dimension ref="B2:L24"/>
  <sheetViews>
    <sheetView topLeftCell="A5" workbookViewId="0">
      <selection activeCell="B11" sqref="B11"/>
    </sheetView>
  </sheetViews>
  <sheetFormatPr defaultColWidth="9.140625" defaultRowHeight="15"/>
  <cols>
    <col min="2" max="2" width="33.42578125" customWidth="1"/>
    <col min="3" max="3" width="22" bestFit="1" customWidth="1"/>
    <col min="4" max="6" width="12.28515625" bestFit="1" customWidth="1"/>
  </cols>
  <sheetData>
    <row r="2" spans="2:12" ht="30.75">
      <c r="B2" s="104" t="s">
        <v>107</v>
      </c>
      <c r="C2" s="104"/>
      <c r="D2" s="104"/>
    </row>
    <row r="4" spans="2:12" ht="15" customHeight="1">
      <c r="B4" s="96" t="s">
        <v>108</v>
      </c>
      <c r="C4" s="96"/>
      <c r="D4" s="96"/>
      <c r="E4" s="96"/>
      <c r="F4" s="96"/>
      <c r="G4" s="96"/>
      <c r="H4" s="96"/>
      <c r="I4" s="96"/>
      <c r="J4" s="96"/>
      <c r="K4" s="96"/>
      <c r="L4" s="96"/>
    </row>
    <row r="5" spans="2:12" ht="15" customHeight="1">
      <c r="B5" s="96"/>
      <c r="C5" s="96"/>
      <c r="D5" s="96"/>
      <c r="E5" s="96"/>
      <c r="F5" s="96"/>
      <c r="G5" s="96"/>
      <c r="H5" s="96"/>
      <c r="I5" s="96"/>
      <c r="J5" s="96"/>
      <c r="K5" s="96"/>
      <c r="L5" s="96"/>
    </row>
    <row r="6" spans="2:12" ht="15" customHeight="1">
      <c r="B6" s="96"/>
      <c r="C6" s="96"/>
      <c r="D6" s="96"/>
      <c r="E6" s="96"/>
      <c r="F6" s="96"/>
      <c r="G6" s="96"/>
      <c r="H6" s="96"/>
      <c r="I6" s="96"/>
      <c r="J6" s="96"/>
      <c r="K6" s="96"/>
      <c r="L6" s="96"/>
    </row>
    <row r="7" spans="2:12" ht="15" customHeight="1">
      <c r="B7" s="96" t="s">
        <v>109</v>
      </c>
      <c r="C7" s="96"/>
      <c r="D7" s="96"/>
      <c r="E7" s="96"/>
      <c r="F7" s="96"/>
      <c r="G7" s="96"/>
      <c r="H7" s="96"/>
      <c r="I7" s="96"/>
      <c r="J7" s="96"/>
      <c r="K7" s="96"/>
      <c r="L7" s="96"/>
    </row>
    <row r="8" spans="2:12" ht="15" customHeight="1">
      <c r="B8" s="96"/>
      <c r="C8" s="96"/>
      <c r="D8" s="96"/>
      <c r="E8" s="96"/>
      <c r="F8" s="96"/>
      <c r="G8" s="96"/>
      <c r="H8" s="96"/>
      <c r="I8" s="96"/>
      <c r="J8" s="96"/>
      <c r="K8" s="96"/>
      <c r="L8" s="96"/>
    </row>
    <row r="9" spans="2:12">
      <c r="B9" s="96" t="s">
        <v>110</v>
      </c>
      <c r="C9" s="96"/>
      <c r="D9" s="96"/>
      <c r="E9" s="96"/>
      <c r="F9" s="96"/>
      <c r="G9" s="96"/>
      <c r="H9" s="96"/>
      <c r="I9" s="96"/>
      <c r="J9" s="96"/>
      <c r="K9" s="96"/>
      <c r="L9" s="96"/>
    </row>
    <row r="10" spans="2:12">
      <c r="B10" s="96"/>
      <c r="C10" s="96"/>
      <c r="D10" s="96"/>
      <c r="E10" s="96"/>
      <c r="F10" s="96"/>
      <c r="G10" s="96"/>
      <c r="H10" s="96"/>
      <c r="I10" s="96"/>
      <c r="J10" s="96"/>
      <c r="K10" s="96"/>
      <c r="L10" s="96"/>
    </row>
    <row r="11" spans="2:12">
      <c r="B11" s="96" t="s">
        <v>111</v>
      </c>
      <c r="C11" s="96"/>
      <c r="D11" s="96"/>
      <c r="E11" s="96"/>
      <c r="F11" s="96"/>
      <c r="G11" s="96"/>
      <c r="H11" s="96"/>
      <c r="I11" s="96"/>
      <c r="J11" s="96"/>
      <c r="K11" s="96"/>
      <c r="L11" s="96"/>
    </row>
    <row r="12" spans="2:12">
      <c r="B12" s="96"/>
      <c r="C12" s="96"/>
      <c r="D12" s="96"/>
      <c r="E12" s="96"/>
      <c r="F12" s="96"/>
      <c r="G12" s="96"/>
      <c r="H12" s="96"/>
      <c r="I12" s="96"/>
      <c r="J12" s="96"/>
      <c r="K12" s="96"/>
      <c r="L12" s="96"/>
    </row>
    <row r="13" spans="2:12" ht="18.75">
      <c r="B13" s="97" t="s">
        <v>112</v>
      </c>
      <c r="C13" s="97"/>
      <c r="D13" s="97"/>
    </row>
    <row r="15" spans="2:12">
      <c r="B15" t="s">
        <v>113</v>
      </c>
      <c r="C15" t="s">
        <v>114</v>
      </c>
      <c r="D15" t="s">
        <v>115</v>
      </c>
      <c r="E15" t="s">
        <v>29</v>
      </c>
      <c r="F15" t="s">
        <v>116</v>
      </c>
    </row>
    <row r="16" spans="2:12">
      <c r="B16" t="s">
        <v>117</v>
      </c>
      <c r="C16">
        <v>472825</v>
      </c>
      <c r="D16">
        <v>469450</v>
      </c>
      <c r="E16">
        <f>Tabla8[[#This Row],[Tn 1994]]+Tabla8[[#This Row],[Tn 1995]]</f>
        <v>942275</v>
      </c>
      <c r="F16">
        <f>Tabla8[[#This Row],[TOTAL]]/2</f>
        <v>471137.5</v>
      </c>
    </row>
    <row r="17" spans="2:6">
      <c r="B17" t="s">
        <v>118</v>
      </c>
      <c r="C17">
        <v>635758</v>
      </c>
      <c r="D17">
        <v>477031</v>
      </c>
      <c r="E17">
        <f>Tabla8[[#This Row],[Tn 1994]]+Tabla8[[#This Row],[Tn 1995]]</f>
        <v>1112789</v>
      </c>
      <c r="F17">
        <f>Tabla8[[#This Row],[TOTAL]]/2</f>
        <v>556394.5</v>
      </c>
    </row>
    <row r="18" spans="2:6">
      <c r="B18" t="s">
        <v>119</v>
      </c>
      <c r="C18">
        <v>391751</v>
      </c>
      <c r="D18">
        <v>442085</v>
      </c>
      <c r="E18">
        <f>Tabla8[[#This Row],[Tn 1994]]+Tabla8[[#This Row],[Tn 1995]]</f>
        <v>833836</v>
      </c>
      <c r="F18">
        <f>Tabla8[[#This Row],[TOTAL]]/2</f>
        <v>416918</v>
      </c>
    </row>
    <row r="19" spans="2:6">
      <c r="B19" t="s">
        <v>120</v>
      </c>
      <c r="C19">
        <v>517147</v>
      </c>
      <c r="D19">
        <v>517489</v>
      </c>
      <c r="E19">
        <f>Tabla8[[#This Row],[Tn 1994]]+Tabla8[[#This Row],[Tn 1995]]</f>
        <v>1034636</v>
      </c>
      <c r="F19">
        <f>Tabla8[[#This Row],[TOTAL]]/2</f>
        <v>517318</v>
      </c>
    </row>
    <row r="20" spans="2:6">
      <c r="B20" t="s">
        <v>121</v>
      </c>
      <c r="C20">
        <v>277792</v>
      </c>
      <c r="D20">
        <v>263190</v>
      </c>
      <c r="E20">
        <f>Tabla8[[#This Row],[Tn 1994]]+Tabla8[[#This Row],[Tn 1995]]</f>
        <v>540982</v>
      </c>
      <c r="F20">
        <f>Tabla8[[#This Row],[TOTAL]]/2</f>
        <v>270491</v>
      </c>
    </row>
    <row r="21" spans="2:6">
      <c r="B21" t="s">
        <v>122</v>
      </c>
      <c r="C21">
        <v>344378</v>
      </c>
      <c r="D21">
        <v>295516</v>
      </c>
      <c r="E21">
        <f>Tabla8[[#This Row],[Tn 1994]]+Tabla8[[#This Row],[Tn 1995]]</f>
        <v>639894</v>
      </c>
      <c r="F21">
        <f>Tabla8[[#This Row],[TOTAL]]/2</f>
        <v>319947</v>
      </c>
    </row>
    <row r="22" spans="2:6">
      <c r="B22" t="s">
        <v>123</v>
      </c>
      <c r="C22">
        <v>139051</v>
      </c>
      <c r="D22">
        <v>1021136</v>
      </c>
      <c r="E22">
        <f>Tabla8[[#This Row],[Tn 1994]]+Tabla8[[#This Row],[Tn 1995]]</f>
        <v>1160187</v>
      </c>
      <c r="F22">
        <f>Tabla8[[#This Row],[TOTAL]]/2</f>
        <v>580093.5</v>
      </c>
    </row>
    <row r="23" spans="2:6">
      <c r="B23" t="s">
        <v>124</v>
      </c>
      <c r="C23">
        <v>1413714</v>
      </c>
      <c r="D23">
        <v>1146294</v>
      </c>
      <c r="E23">
        <f>Tabla8[[#This Row],[Tn 1994]]+Tabla8[[#This Row],[Tn 1995]]</f>
        <v>2560008</v>
      </c>
      <c r="F23">
        <f>Tabla8[[#This Row],[TOTAL]]/2</f>
        <v>1280004</v>
      </c>
    </row>
    <row r="24" spans="2:6">
      <c r="B24" t="s">
        <v>29</v>
      </c>
      <c r="C24">
        <f>SUM(C16:C23)</f>
        <v>4192416</v>
      </c>
      <c r="D24">
        <f>SUM(D16:D23)</f>
        <v>4632191</v>
      </c>
      <c r="E24">
        <f t="shared" ref="E24:F24" si="0">SUM(E16:E23)</f>
        <v>8824607</v>
      </c>
      <c r="F24">
        <f t="shared" si="0"/>
        <v>4412303.5</v>
      </c>
    </row>
  </sheetData>
  <mergeCells count="6">
    <mergeCell ref="B9:L10"/>
    <mergeCell ref="B7:L8"/>
    <mergeCell ref="B11:L12"/>
    <mergeCell ref="B13:D13"/>
    <mergeCell ref="B2:D2"/>
    <mergeCell ref="B4:L6"/>
  </mergeCells>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0AAED-B27F-4B7F-AA44-CFEBFD1E4A7F}">
  <sheetPr codeName="Hoja8"/>
  <dimension ref="A1:N23"/>
  <sheetViews>
    <sheetView workbookViewId="0"/>
  </sheetViews>
  <sheetFormatPr defaultColWidth="9.140625" defaultRowHeight="15"/>
  <cols>
    <col min="2" max="2" width="13.28515625" customWidth="1"/>
    <col min="3" max="3" width="16.42578125" bestFit="1" customWidth="1"/>
    <col min="4" max="7" width="12.28515625" customWidth="1"/>
    <col min="9" max="9" width="15.7109375" customWidth="1"/>
    <col min="10" max="10" width="17.85546875" customWidth="1"/>
  </cols>
  <sheetData>
    <row r="1" spans="1:14">
      <c r="A1" s="109" t="s">
        <v>125</v>
      </c>
      <c r="B1" s="110"/>
      <c r="C1" s="110"/>
      <c r="D1" s="110"/>
      <c r="E1" s="110"/>
      <c r="F1" s="110"/>
      <c r="G1" s="110"/>
      <c r="H1" s="110"/>
    </row>
    <row r="2" spans="1:14">
      <c r="A2" s="110"/>
      <c r="B2" s="110"/>
      <c r="C2" s="110"/>
      <c r="D2" s="110"/>
      <c r="E2" s="110"/>
      <c r="F2" s="110"/>
      <c r="G2" s="110"/>
      <c r="H2" s="110"/>
    </row>
    <row r="3" spans="1:14" ht="75" customHeight="1">
      <c r="A3" s="110"/>
      <c r="B3" s="110"/>
      <c r="C3" s="110"/>
      <c r="D3" s="110"/>
      <c r="E3" s="110"/>
      <c r="F3" s="110"/>
      <c r="G3" s="110"/>
      <c r="H3" s="110"/>
      <c r="L3" s="82"/>
      <c r="M3" s="82"/>
      <c r="N3" s="82"/>
    </row>
    <row r="4" spans="1:14" ht="18.75" customHeight="1">
      <c r="A4" s="110"/>
      <c r="B4" s="110"/>
      <c r="C4" s="110"/>
      <c r="D4" s="110"/>
      <c r="E4" s="110"/>
      <c r="F4" s="110"/>
      <c r="G4" s="110"/>
      <c r="H4" s="110"/>
      <c r="L4" s="95"/>
      <c r="M4" s="95"/>
      <c r="N4" s="95"/>
    </row>
    <row r="5" spans="1:14">
      <c r="A5" s="110"/>
      <c r="B5" s="110"/>
      <c r="C5" s="110"/>
      <c r="D5" s="110"/>
      <c r="E5" s="110"/>
      <c r="F5" s="110"/>
      <c r="G5" s="110"/>
      <c r="H5" s="110"/>
    </row>
    <row r="6" spans="1:14">
      <c r="A6" s="110"/>
      <c r="B6" s="110"/>
      <c r="C6" s="110"/>
      <c r="D6" s="110"/>
      <c r="E6" s="110"/>
      <c r="F6" s="110"/>
      <c r="G6" s="110"/>
      <c r="H6" s="110"/>
    </row>
    <row r="7" spans="1:14">
      <c r="A7" s="110"/>
      <c r="B7" s="110"/>
      <c r="C7" s="110"/>
      <c r="D7" s="110"/>
      <c r="E7" s="110"/>
      <c r="F7" s="110"/>
      <c r="G7" s="110"/>
      <c r="H7" s="110"/>
    </row>
    <row r="8" spans="1:14">
      <c r="A8" s="110"/>
      <c r="B8" s="110"/>
      <c r="C8" s="110"/>
      <c r="D8" s="110"/>
      <c r="E8" s="110"/>
      <c r="F8" s="110"/>
      <c r="G8" s="110"/>
      <c r="H8" s="110"/>
      <c r="I8" s="85" t="s">
        <v>126</v>
      </c>
      <c r="J8" s="86">
        <v>1500000</v>
      </c>
    </row>
    <row r="9" spans="1:14">
      <c r="A9" s="110"/>
      <c r="B9" s="110"/>
      <c r="C9" s="110"/>
      <c r="D9" s="110"/>
      <c r="E9" s="110"/>
      <c r="F9" s="110"/>
      <c r="G9" s="110"/>
      <c r="H9" s="110"/>
      <c r="I9" s="85" t="s">
        <v>127</v>
      </c>
      <c r="J9" s="86">
        <v>6</v>
      </c>
    </row>
    <row r="10" spans="1:14">
      <c r="A10" s="110"/>
      <c r="B10" s="110"/>
      <c r="C10" s="110"/>
      <c r="D10" s="110"/>
      <c r="E10" s="110"/>
      <c r="F10" s="110"/>
      <c r="G10" s="110"/>
      <c r="H10" s="110"/>
      <c r="I10" s="85" t="s">
        <v>128</v>
      </c>
      <c r="J10" s="86">
        <v>290254.81</v>
      </c>
    </row>
    <row r="11" spans="1:14">
      <c r="A11" s="110"/>
      <c r="B11" s="110"/>
      <c r="C11" s="110"/>
      <c r="D11" s="110"/>
      <c r="E11" s="110"/>
      <c r="F11" s="110"/>
      <c r="G11" s="110"/>
      <c r="H11" s="110"/>
      <c r="I11" s="85" t="s">
        <v>129</v>
      </c>
      <c r="J11" s="87">
        <v>4.4400000000000002E-2</v>
      </c>
    </row>
    <row r="13" spans="1:14" ht="30.75">
      <c r="B13" s="104" t="s">
        <v>130</v>
      </c>
      <c r="C13" s="104"/>
      <c r="D13" s="104"/>
    </row>
    <row r="15" spans="1:14">
      <c r="A15" s="4" t="s">
        <v>131</v>
      </c>
      <c r="B15" s="4" t="s">
        <v>132</v>
      </c>
      <c r="C15" s="4" t="s">
        <v>133</v>
      </c>
      <c r="D15" s="4" t="s">
        <v>133</v>
      </c>
      <c r="E15" s="4" t="s">
        <v>29</v>
      </c>
      <c r="F15" s="4" t="s">
        <v>134</v>
      </c>
    </row>
    <row r="16" spans="1:14">
      <c r="A16" s="4"/>
      <c r="B16" s="4" t="s">
        <v>135</v>
      </c>
      <c r="C16" s="4" t="s">
        <v>129</v>
      </c>
      <c r="D16" s="4" t="s">
        <v>126</v>
      </c>
      <c r="E16" s="4" t="s">
        <v>136</v>
      </c>
      <c r="F16" s="4" t="s">
        <v>137</v>
      </c>
    </row>
    <row r="17" spans="1:6">
      <c r="A17" s="4">
        <v>0</v>
      </c>
      <c r="B17" s="88"/>
      <c r="C17" s="4"/>
      <c r="D17" s="4"/>
      <c r="E17" s="4">
        <v>0</v>
      </c>
      <c r="F17" s="88">
        <f>J8</f>
        <v>1500000</v>
      </c>
    </row>
    <row r="18" spans="1:6">
      <c r="A18" s="4">
        <v>1</v>
      </c>
      <c r="B18" s="88">
        <f>J10</f>
        <v>290254.81</v>
      </c>
      <c r="C18" s="89">
        <f>F17*J11</f>
        <v>66600</v>
      </c>
      <c r="D18" s="88">
        <f t="shared" ref="D18:D23" si="0">B18-C18</f>
        <v>223654.81</v>
      </c>
      <c r="E18" s="88">
        <f>E17+D18</f>
        <v>223654.81</v>
      </c>
      <c r="F18" s="88">
        <f t="shared" ref="F18:F23" si="1">F17-D18</f>
        <v>1276345.19</v>
      </c>
    </row>
    <row r="19" spans="1:6">
      <c r="A19" s="4">
        <v>2</v>
      </c>
      <c r="B19" s="88">
        <f>J10</f>
        <v>290254.81</v>
      </c>
      <c r="C19" s="89">
        <f>F18*J11</f>
        <v>56669.726435999997</v>
      </c>
      <c r="D19" s="88">
        <f t="shared" si="0"/>
        <v>233585.083564</v>
      </c>
      <c r="E19" s="88">
        <f t="shared" ref="E19:E23" si="2">E18+D19</f>
        <v>457239.89356400003</v>
      </c>
      <c r="F19" s="88">
        <f t="shared" si="1"/>
        <v>1042760.106436</v>
      </c>
    </row>
    <row r="20" spans="1:6">
      <c r="A20" s="4">
        <v>3</v>
      </c>
      <c r="B20" s="88">
        <f>J10</f>
        <v>290254.81</v>
      </c>
      <c r="C20" s="4">
        <f>F19*J11</f>
        <v>46298.548725758403</v>
      </c>
      <c r="D20" s="88">
        <f t="shared" si="0"/>
        <v>243956.26127424161</v>
      </c>
      <c r="E20" s="88">
        <f t="shared" si="2"/>
        <v>701196.15483824164</v>
      </c>
      <c r="F20" s="88">
        <f t="shared" si="1"/>
        <v>798803.84516175836</v>
      </c>
    </row>
    <row r="21" spans="1:6">
      <c r="A21" s="4">
        <v>4</v>
      </c>
      <c r="B21" s="88">
        <f>J10</f>
        <v>290254.81</v>
      </c>
      <c r="C21" s="4">
        <f>F20*J11</f>
        <v>35466.890725182071</v>
      </c>
      <c r="D21" s="88">
        <f t="shared" si="0"/>
        <v>254787.91927481792</v>
      </c>
      <c r="E21" s="88">
        <f t="shared" si="2"/>
        <v>955984.07411305956</v>
      </c>
      <c r="F21" s="88">
        <f t="shared" si="1"/>
        <v>544015.92588694044</v>
      </c>
    </row>
    <row r="22" spans="1:6">
      <c r="A22" s="4">
        <v>5</v>
      </c>
      <c r="B22" s="88">
        <f>J10</f>
        <v>290254.81</v>
      </c>
      <c r="C22" s="4">
        <f>F21*J11</f>
        <v>24154.307109380155</v>
      </c>
      <c r="D22" s="88">
        <f t="shared" si="0"/>
        <v>266100.50289061986</v>
      </c>
      <c r="E22" s="88">
        <f t="shared" si="2"/>
        <v>1222084.5770036795</v>
      </c>
      <c r="F22" s="88">
        <f t="shared" si="1"/>
        <v>277915.42299632059</v>
      </c>
    </row>
    <row r="23" spans="1:6">
      <c r="A23" s="4">
        <v>6</v>
      </c>
      <c r="B23" s="88">
        <f>J10</f>
        <v>290254.81</v>
      </c>
      <c r="C23" s="4">
        <f>F22*J11</f>
        <v>12339.444781036635</v>
      </c>
      <c r="D23" s="88">
        <f t="shared" si="0"/>
        <v>277915.36521896336</v>
      </c>
      <c r="E23" s="88">
        <f t="shared" si="2"/>
        <v>1499999.9422226427</v>
      </c>
      <c r="F23" s="88">
        <f t="shared" si="1"/>
        <v>5.7777357229497284E-2</v>
      </c>
    </row>
  </sheetData>
  <mergeCells count="2">
    <mergeCell ref="A1:H11"/>
    <mergeCell ref="B13:D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13B80-D86D-4912-8257-E7BFDA801805}">
  <dimension ref="B2:Q33"/>
  <sheetViews>
    <sheetView workbookViewId="0">
      <selection activeCell="B2" sqref="B2:D2"/>
    </sheetView>
  </sheetViews>
  <sheetFormatPr defaultColWidth="11.42578125" defaultRowHeight="15"/>
  <cols>
    <col min="2" max="2" width="16.42578125" customWidth="1"/>
    <col min="4" max="5" width="12.28515625" customWidth="1"/>
    <col min="7" max="8" width="12.28515625" customWidth="1"/>
    <col min="10" max="11" width="12.28515625" customWidth="1"/>
  </cols>
  <sheetData>
    <row r="2" spans="2:17" ht="30.75">
      <c r="B2" s="104" t="s">
        <v>138</v>
      </c>
      <c r="C2" s="104"/>
      <c r="D2" s="104"/>
    </row>
    <row r="4" spans="2:17" ht="11.25" customHeight="1">
      <c r="B4" s="111" t="s">
        <v>139</v>
      </c>
      <c r="C4" s="111"/>
      <c r="D4" s="111"/>
      <c r="E4" s="111"/>
      <c r="F4" s="111"/>
      <c r="G4" s="111"/>
      <c r="H4" s="111"/>
      <c r="I4" s="111"/>
      <c r="J4" s="111"/>
      <c r="K4" s="111"/>
      <c r="L4" s="111"/>
      <c r="M4" s="111"/>
      <c r="N4" s="59"/>
      <c r="O4" s="59"/>
      <c r="P4" s="59"/>
      <c r="Q4" s="59"/>
    </row>
    <row r="5" spans="2:17" ht="15" customHeight="1">
      <c r="B5" s="111"/>
      <c r="C5" s="111"/>
      <c r="D5" s="111"/>
      <c r="E5" s="111"/>
      <c r="F5" s="111"/>
      <c r="G5" s="111"/>
      <c r="H5" s="111"/>
      <c r="I5" s="111"/>
      <c r="J5" s="111"/>
      <c r="K5" s="111"/>
      <c r="L5" s="111"/>
      <c r="M5" s="111"/>
      <c r="N5" s="59"/>
      <c r="O5" s="59"/>
      <c r="P5" s="59"/>
      <c r="Q5" s="59"/>
    </row>
    <row r="6" spans="2:17" ht="15" customHeight="1">
      <c r="B6" s="111"/>
      <c r="C6" s="111"/>
      <c r="D6" s="111"/>
      <c r="E6" s="111"/>
      <c r="F6" s="111"/>
      <c r="G6" s="111"/>
      <c r="H6" s="111"/>
      <c r="I6" s="111"/>
      <c r="J6" s="111"/>
      <c r="K6" s="111"/>
      <c r="L6" s="111"/>
      <c r="M6" s="111"/>
      <c r="N6" s="59"/>
      <c r="O6" s="59"/>
      <c r="P6" s="59"/>
      <c r="Q6" s="59"/>
    </row>
    <row r="7" spans="2:17" ht="15" customHeight="1">
      <c r="B7" s="111"/>
      <c r="C7" s="111"/>
      <c r="D7" s="111"/>
      <c r="E7" s="111"/>
      <c r="F7" s="111"/>
      <c r="G7" s="111"/>
      <c r="H7" s="111"/>
      <c r="I7" s="111"/>
      <c r="J7" s="111"/>
      <c r="K7" s="111"/>
      <c r="L7" s="111"/>
      <c r="M7" s="111"/>
      <c r="N7" s="59"/>
      <c r="O7" s="59"/>
      <c r="P7" s="59"/>
      <c r="Q7" s="59"/>
    </row>
    <row r="8" spans="2:17" ht="16.5" customHeight="1">
      <c r="B8" s="111"/>
      <c r="C8" s="111"/>
      <c r="D8" s="111"/>
      <c r="E8" s="111"/>
      <c r="F8" s="111"/>
      <c r="G8" s="111"/>
      <c r="H8" s="111"/>
      <c r="I8" s="111"/>
      <c r="J8" s="111"/>
      <c r="K8" s="111"/>
      <c r="L8" s="111"/>
      <c r="M8" s="111"/>
    </row>
    <row r="10" spans="2:17" ht="18.75">
      <c r="B10" s="97" t="s">
        <v>140</v>
      </c>
      <c r="C10" s="97"/>
      <c r="D10" s="97"/>
      <c r="E10" s="97"/>
      <c r="F10" s="97"/>
      <c r="G10" s="97"/>
      <c r="H10" s="97"/>
      <c r="I10" s="97"/>
    </row>
    <row r="12" spans="2:17">
      <c r="B12" s="60" t="s">
        <v>141</v>
      </c>
      <c r="C12" s="112" t="s">
        <v>142</v>
      </c>
      <c r="D12" s="112"/>
      <c r="E12" s="112"/>
      <c r="F12" s="112" t="s">
        <v>143</v>
      </c>
      <c r="G12" s="112"/>
      <c r="H12" s="112"/>
      <c r="I12" s="112" t="s">
        <v>144</v>
      </c>
      <c r="J12" s="112"/>
      <c r="K12" s="113"/>
    </row>
    <row r="13" spans="2:17" ht="15.75" thickBot="1">
      <c r="B13" s="75"/>
      <c r="C13" s="80" t="s">
        <v>145</v>
      </c>
      <c r="D13" s="80" t="s">
        <v>146</v>
      </c>
      <c r="E13" s="80" t="s">
        <v>147</v>
      </c>
      <c r="F13" s="80" t="s">
        <v>145</v>
      </c>
      <c r="G13" s="80" t="s">
        <v>146</v>
      </c>
      <c r="H13" s="80" t="s">
        <v>147</v>
      </c>
      <c r="I13" s="80" t="s">
        <v>145</v>
      </c>
      <c r="J13" s="80" t="s">
        <v>146</v>
      </c>
      <c r="K13" s="81" t="s">
        <v>147</v>
      </c>
    </row>
    <row r="14" spans="2:17" ht="15.75" thickBot="1">
      <c r="B14" s="62" t="s">
        <v>148</v>
      </c>
      <c r="C14" s="65">
        <v>300</v>
      </c>
      <c r="D14" s="70">
        <f>C14 / $C$26*100</f>
        <v>6.6298342541436464</v>
      </c>
      <c r="E14" s="68">
        <f>AVERAGE(C14,C26)</f>
        <v>2412.5</v>
      </c>
      <c r="F14" s="65">
        <v>285</v>
      </c>
      <c r="G14" s="66">
        <f>F14 / $F$26</f>
        <v>5.9735904422552923E-2</v>
      </c>
      <c r="H14" s="63">
        <f>AVERAGE(F14,F26)</f>
        <v>2528</v>
      </c>
      <c r="I14" s="65">
        <v>360</v>
      </c>
      <c r="J14" s="66">
        <f>I14 / $I$26</f>
        <v>7.2507552870090641E-2</v>
      </c>
      <c r="K14" s="64">
        <f>AVERAGE(I14,I26)</f>
        <v>2662.5</v>
      </c>
    </row>
    <row r="15" spans="2:17" ht="15.75" thickBot="1">
      <c r="B15" s="75" t="s">
        <v>149</v>
      </c>
      <c r="C15" s="67">
        <v>315</v>
      </c>
      <c r="D15" s="70">
        <f t="shared" ref="D15:D25" si="0">C15 / $C$26*100</f>
        <v>6.9613259668508292</v>
      </c>
      <c r="E15" s="71">
        <f t="shared" ref="E15:E25" si="1">AVERAGE(C15,C27)</f>
        <v>315</v>
      </c>
      <c r="F15" s="72">
        <v>345</v>
      </c>
      <c r="G15" s="69">
        <f t="shared" ref="G15:G25" si="2">F15 / $F$26</f>
        <v>7.2311884300985119E-2</v>
      </c>
      <c r="H15" s="73">
        <f t="shared" ref="H15:H25" si="3">AVERAGE(F15,F27)</f>
        <v>345</v>
      </c>
      <c r="I15" s="72">
        <v>360</v>
      </c>
      <c r="J15" s="69">
        <f t="shared" ref="J15:J25" si="4">I15 / $I$26</f>
        <v>7.2507552870090641E-2</v>
      </c>
      <c r="K15" s="74">
        <f t="shared" ref="K15:K25" si="5">AVERAGE(I15,I27)</f>
        <v>360</v>
      </c>
    </row>
    <row r="16" spans="2:17" ht="15.75" thickBot="1">
      <c r="B16" s="62" t="s">
        <v>150</v>
      </c>
      <c r="C16" s="65">
        <v>420</v>
      </c>
      <c r="D16" s="70">
        <f t="shared" si="0"/>
        <v>9.2817679558011061</v>
      </c>
      <c r="E16" s="68">
        <f t="shared" si="1"/>
        <v>420</v>
      </c>
      <c r="F16" s="65">
        <v>450</v>
      </c>
      <c r="G16" s="66">
        <f t="shared" si="2"/>
        <v>9.4319849088241453E-2</v>
      </c>
      <c r="H16" s="63">
        <f t="shared" si="3"/>
        <v>450</v>
      </c>
      <c r="I16" s="65">
        <v>465</v>
      </c>
      <c r="J16" s="66">
        <f t="shared" si="4"/>
        <v>9.3655589123867067E-2</v>
      </c>
      <c r="K16" s="64">
        <f t="shared" si="5"/>
        <v>465</v>
      </c>
    </row>
    <row r="17" spans="2:13" ht="15.75" thickBot="1">
      <c r="B17" s="75" t="s">
        <v>151</v>
      </c>
      <c r="C17" s="67">
        <v>450</v>
      </c>
      <c r="D17" s="70">
        <f t="shared" si="0"/>
        <v>9.94475138121547</v>
      </c>
      <c r="E17" s="71">
        <f t="shared" si="1"/>
        <v>450</v>
      </c>
      <c r="F17" s="72">
        <v>465</v>
      </c>
      <c r="G17" s="69">
        <f t="shared" si="2"/>
        <v>9.7463844057849511E-2</v>
      </c>
      <c r="H17" s="73">
        <f t="shared" si="3"/>
        <v>465</v>
      </c>
      <c r="I17" s="72">
        <v>480</v>
      </c>
      <c r="J17" s="69">
        <f t="shared" si="4"/>
        <v>9.6676737160120846E-2</v>
      </c>
      <c r="K17" s="74">
        <f t="shared" si="5"/>
        <v>480</v>
      </c>
    </row>
    <row r="18" spans="2:13" ht="15.75" thickBot="1">
      <c r="B18" s="62" t="s">
        <v>152</v>
      </c>
      <c r="C18" s="65">
        <v>405</v>
      </c>
      <c r="D18" s="70">
        <f t="shared" si="0"/>
        <v>8.9502762430939224</v>
      </c>
      <c r="E18" s="68">
        <f t="shared" si="1"/>
        <v>405</v>
      </c>
      <c r="F18" s="65">
        <v>480</v>
      </c>
      <c r="G18" s="66">
        <f t="shared" si="2"/>
        <v>0.10060783902745755</v>
      </c>
      <c r="H18" s="63">
        <f t="shared" si="3"/>
        <v>480</v>
      </c>
      <c r="I18" s="65">
        <v>450</v>
      </c>
      <c r="J18" s="66">
        <f t="shared" si="4"/>
        <v>9.0634441087613288E-2</v>
      </c>
      <c r="K18" s="64">
        <f t="shared" si="5"/>
        <v>450</v>
      </c>
    </row>
    <row r="19" spans="2:13" ht="15.75" thickBot="1">
      <c r="B19" s="61" t="s">
        <v>153</v>
      </c>
      <c r="C19" s="67">
        <v>375</v>
      </c>
      <c r="D19" s="70">
        <f t="shared" si="0"/>
        <v>8.2872928176795568</v>
      </c>
      <c r="E19" s="71">
        <f t="shared" si="1"/>
        <v>375</v>
      </c>
      <c r="F19" s="72">
        <v>420</v>
      </c>
      <c r="G19" s="69">
        <f t="shared" si="2"/>
        <v>8.8031859149025365E-2</v>
      </c>
      <c r="H19" s="73">
        <f t="shared" si="3"/>
        <v>420</v>
      </c>
      <c r="I19" s="72">
        <v>420</v>
      </c>
      <c r="J19" s="69">
        <f t="shared" si="4"/>
        <v>8.4592145015105744E-2</v>
      </c>
      <c r="K19" s="74">
        <f t="shared" si="5"/>
        <v>420</v>
      </c>
    </row>
    <row r="20" spans="2:13" ht="15.75" thickBot="1">
      <c r="B20" s="62" t="s">
        <v>154</v>
      </c>
      <c r="C20" s="65">
        <v>390</v>
      </c>
      <c r="D20" s="70">
        <f t="shared" si="0"/>
        <v>8.6187845303867405</v>
      </c>
      <c r="E20" s="68">
        <f t="shared" si="1"/>
        <v>390</v>
      </c>
      <c r="F20" s="65">
        <v>435</v>
      </c>
      <c r="G20" s="66">
        <f t="shared" si="2"/>
        <v>9.1175854118633409E-2</v>
      </c>
      <c r="H20" s="63">
        <f t="shared" si="3"/>
        <v>435</v>
      </c>
      <c r="I20" s="65">
        <v>420</v>
      </c>
      <c r="J20" s="66">
        <f t="shared" si="4"/>
        <v>8.4592145015105744E-2</v>
      </c>
      <c r="K20" s="64">
        <f t="shared" si="5"/>
        <v>420</v>
      </c>
    </row>
    <row r="21" spans="2:13" ht="15.75" thickBot="1">
      <c r="B21" s="75" t="s">
        <v>155</v>
      </c>
      <c r="C21" s="72">
        <v>300</v>
      </c>
      <c r="D21" s="70">
        <f t="shared" si="0"/>
        <v>6.6298342541436464</v>
      </c>
      <c r="E21" s="71">
        <f t="shared" si="1"/>
        <v>300</v>
      </c>
      <c r="F21" s="72">
        <v>300</v>
      </c>
      <c r="G21" s="69">
        <f t="shared" si="2"/>
        <v>6.2879899392160973E-2</v>
      </c>
      <c r="H21" s="73">
        <f t="shared" si="3"/>
        <v>300</v>
      </c>
      <c r="I21" s="72">
        <v>300</v>
      </c>
      <c r="J21" s="69">
        <f t="shared" si="4"/>
        <v>6.0422960725075532E-2</v>
      </c>
      <c r="K21" s="74">
        <f t="shared" si="5"/>
        <v>300</v>
      </c>
    </row>
    <row r="22" spans="2:13" ht="15.75" thickBot="1">
      <c r="B22" s="62" t="s">
        <v>156</v>
      </c>
      <c r="C22" s="65">
        <v>390</v>
      </c>
      <c r="D22" s="70">
        <f t="shared" si="0"/>
        <v>8.6187845303867405</v>
      </c>
      <c r="E22" s="68">
        <f t="shared" si="1"/>
        <v>390</v>
      </c>
      <c r="F22" s="65">
        <v>465</v>
      </c>
      <c r="G22" s="66">
        <f t="shared" si="2"/>
        <v>9.7463844057849511E-2</v>
      </c>
      <c r="H22" s="63">
        <f t="shared" si="3"/>
        <v>465</v>
      </c>
      <c r="I22" s="65">
        <v>495</v>
      </c>
      <c r="J22" s="66">
        <f t="shared" si="4"/>
        <v>9.9697885196374625E-2</v>
      </c>
      <c r="K22" s="64">
        <f t="shared" si="5"/>
        <v>495</v>
      </c>
    </row>
    <row r="23" spans="2:13" ht="15.75" thickBot="1">
      <c r="B23" s="75" t="s">
        <v>157</v>
      </c>
      <c r="C23" s="72">
        <v>505</v>
      </c>
      <c r="D23" s="70">
        <f t="shared" si="0"/>
        <v>11.160220994475138</v>
      </c>
      <c r="E23" s="71">
        <f t="shared" si="1"/>
        <v>505</v>
      </c>
      <c r="F23" s="72">
        <v>436</v>
      </c>
      <c r="G23" s="69">
        <f t="shared" si="2"/>
        <v>9.1385453783273951E-2</v>
      </c>
      <c r="H23" s="73">
        <f t="shared" si="3"/>
        <v>436</v>
      </c>
      <c r="I23" s="72">
        <v>450</v>
      </c>
      <c r="J23" s="69">
        <f t="shared" si="4"/>
        <v>9.0634441087613288E-2</v>
      </c>
      <c r="K23" s="74">
        <f t="shared" si="5"/>
        <v>450</v>
      </c>
    </row>
    <row r="24" spans="2:13" ht="15.75" thickBot="1">
      <c r="B24" s="62" t="s">
        <v>158</v>
      </c>
      <c r="C24" s="65">
        <v>390</v>
      </c>
      <c r="D24" s="70">
        <f t="shared" si="0"/>
        <v>8.6187845303867405</v>
      </c>
      <c r="E24" s="68">
        <f t="shared" si="1"/>
        <v>390</v>
      </c>
      <c r="F24" s="65">
        <v>390</v>
      </c>
      <c r="G24" s="66">
        <f t="shared" si="2"/>
        <v>8.1743869209809264E-2</v>
      </c>
      <c r="H24" s="63">
        <f t="shared" si="3"/>
        <v>390</v>
      </c>
      <c r="I24" s="65">
        <v>435</v>
      </c>
      <c r="J24" s="66">
        <f t="shared" si="4"/>
        <v>8.7613293051359523E-2</v>
      </c>
      <c r="K24" s="64">
        <f t="shared" si="5"/>
        <v>435</v>
      </c>
    </row>
    <row r="25" spans="2:13" ht="15.75" thickBot="1">
      <c r="B25" s="75" t="s">
        <v>159</v>
      </c>
      <c r="C25" s="72">
        <v>285</v>
      </c>
      <c r="D25" s="70">
        <f t="shared" si="0"/>
        <v>6.2983425414364635</v>
      </c>
      <c r="E25" s="71">
        <f t="shared" si="1"/>
        <v>285</v>
      </c>
      <c r="F25" s="72">
        <v>300</v>
      </c>
      <c r="G25" s="69">
        <f t="shared" si="2"/>
        <v>6.2879899392160973E-2</v>
      </c>
      <c r="H25" s="73">
        <f t="shared" si="3"/>
        <v>300</v>
      </c>
      <c r="I25" s="72">
        <v>330</v>
      </c>
      <c r="J25" s="69">
        <f t="shared" si="4"/>
        <v>6.6465256797583083E-2</v>
      </c>
      <c r="K25" s="74">
        <f t="shared" si="5"/>
        <v>330</v>
      </c>
    </row>
    <row r="26" spans="2:13">
      <c r="B26" s="76" t="s">
        <v>160</v>
      </c>
      <c r="C26" s="77">
        <f>SUM(C14:C25)</f>
        <v>4525</v>
      </c>
      <c r="D26" s="78">
        <f>SUM(D14:D25)</f>
        <v>100.00000000000001</v>
      </c>
      <c r="E26" s="79">
        <f>SUM(E14:E25)</f>
        <v>6637.5</v>
      </c>
      <c r="F26" s="79">
        <f>SUM(F14:F25)</f>
        <v>4771</v>
      </c>
      <c r="G26" s="79">
        <f t="shared" ref="F26:K26" si="6">SUM(G14:G25)</f>
        <v>1</v>
      </c>
      <c r="H26" s="79">
        <f>SUM(H14:H25)</f>
        <v>7014</v>
      </c>
      <c r="I26" s="79">
        <f t="shared" si="6"/>
        <v>4965</v>
      </c>
      <c r="J26" s="79">
        <f t="shared" si="6"/>
        <v>1</v>
      </c>
      <c r="K26" s="79">
        <f t="shared" si="6"/>
        <v>7267.5</v>
      </c>
    </row>
    <row r="28" spans="2:13" ht="15" customHeight="1">
      <c r="B28" s="106" t="s">
        <v>161</v>
      </c>
      <c r="C28" s="106"/>
      <c r="D28" s="106"/>
      <c r="E28" s="106"/>
      <c r="F28" s="106"/>
      <c r="G28" s="106"/>
      <c r="H28" s="106"/>
      <c r="I28" s="106"/>
      <c r="J28" s="106"/>
      <c r="K28" s="106"/>
      <c r="L28" s="106"/>
      <c r="M28" s="106"/>
    </row>
    <row r="29" spans="2:13" ht="15" customHeight="1">
      <c r="B29" s="106"/>
      <c r="C29" s="106"/>
      <c r="D29" s="106"/>
      <c r="E29" s="106"/>
      <c r="F29" s="106"/>
      <c r="G29" s="106"/>
      <c r="H29" s="106"/>
      <c r="I29" s="106"/>
      <c r="J29" s="106"/>
      <c r="K29" s="106"/>
      <c r="L29" s="106"/>
      <c r="M29" s="106"/>
    </row>
    <row r="30" spans="2:13" ht="15" customHeight="1">
      <c r="B30" s="106"/>
      <c r="C30" s="106"/>
      <c r="D30" s="106"/>
      <c r="E30" s="106"/>
      <c r="F30" s="106"/>
      <c r="G30" s="106"/>
      <c r="H30" s="106"/>
      <c r="I30" s="106"/>
      <c r="J30" s="106"/>
      <c r="K30" s="106"/>
      <c r="L30" s="106"/>
      <c r="M30" s="106"/>
    </row>
    <row r="31" spans="2:13">
      <c r="B31" s="106"/>
      <c r="C31" s="106"/>
      <c r="D31" s="106"/>
      <c r="E31" s="106"/>
      <c r="F31" s="106"/>
      <c r="G31" s="106"/>
      <c r="H31" s="106"/>
      <c r="I31" s="106"/>
      <c r="J31" s="106"/>
      <c r="K31" s="106"/>
      <c r="L31" s="106"/>
      <c r="M31" s="106"/>
    </row>
    <row r="32" spans="2:13" ht="18.75">
      <c r="B32" s="97" t="s">
        <v>162</v>
      </c>
      <c r="C32" s="97"/>
      <c r="D32" s="97"/>
      <c r="E32" s="97"/>
      <c r="F32" s="97"/>
      <c r="G32" s="97"/>
      <c r="H32" s="97"/>
      <c r="I32" s="97"/>
      <c r="J32" s="97"/>
      <c r="K32" s="97"/>
    </row>
    <row r="33" spans="2:11" ht="18.75">
      <c r="B33" s="97" t="s">
        <v>163</v>
      </c>
      <c r="C33" s="97"/>
      <c r="D33" s="97"/>
      <c r="E33" s="97"/>
      <c r="F33" s="97"/>
      <c r="G33" s="97"/>
      <c r="H33" s="97"/>
      <c r="I33" s="97"/>
      <c r="J33" s="97"/>
      <c r="K33" s="97"/>
    </row>
  </sheetData>
  <mergeCells count="9">
    <mergeCell ref="B2:D2"/>
    <mergeCell ref="B4:M8"/>
    <mergeCell ref="B10:I10"/>
    <mergeCell ref="B33:K33"/>
    <mergeCell ref="C12:E12"/>
    <mergeCell ref="F12:H12"/>
    <mergeCell ref="I12:K12"/>
    <mergeCell ref="B28:M31"/>
    <mergeCell ref="B32:K32"/>
  </mergeCells>
  <phoneticPr fontId="5"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871E-7C47-4454-AD59-BDD62D9C3DD1}">
  <dimension ref="A1:L30"/>
  <sheetViews>
    <sheetView tabSelected="1" topLeftCell="A15" workbookViewId="0">
      <selection activeCell="L16" sqref="L16"/>
    </sheetView>
  </sheetViews>
  <sheetFormatPr defaultColWidth="11.42578125" defaultRowHeight="15"/>
  <cols>
    <col min="2" max="2" width="11.85546875" customWidth="1"/>
    <col min="4" max="4" width="12.7109375" bestFit="1" customWidth="1"/>
  </cols>
  <sheetData>
    <row r="1" spans="1:12">
      <c r="A1" s="114" t="s">
        <v>164</v>
      </c>
      <c r="B1" s="115"/>
      <c r="C1" s="115"/>
      <c r="D1" s="115"/>
      <c r="E1" s="115"/>
      <c r="F1" s="115"/>
      <c r="G1" s="115"/>
    </row>
    <row r="2" spans="1:12">
      <c r="A2" s="115"/>
      <c r="B2" s="115"/>
      <c r="C2" s="115"/>
      <c r="D2" s="115"/>
      <c r="E2" s="115"/>
      <c r="F2" s="115"/>
      <c r="G2" s="115"/>
    </row>
    <row r="3" spans="1:12">
      <c r="A3" s="115"/>
      <c r="B3" s="115"/>
      <c r="C3" s="115"/>
      <c r="D3" s="115"/>
      <c r="E3" s="115"/>
      <c r="F3" s="115"/>
      <c r="G3" s="115"/>
    </row>
    <row r="4" spans="1:12" ht="15" customHeight="1">
      <c r="A4" s="115"/>
      <c r="B4" s="115"/>
      <c r="C4" s="115"/>
      <c r="D4" s="115"/>
      <c r="E4" s="115"/>
      <c r="F4" s="115"/>
      <c r="G4" s="115"/>
      <c r="I4" s="94"/>
      <c r="J4" s="94"/>
      <c r="K4" s="94"/>
      <c r="L4" s="94"/>
    </row>
    <row r="5" spans="1:12" ht="15" customHeight="1">
      <c r="A5" s="115"/>
      <c r="B5" s="115"/>
      <c r="C5" s="115"/>
      <c r="D5" s="115"/>
      <c r="E5" s="115"/>
      <c r="F5" s="115"/>
      <c r="G5" s="115"/>
      <c r="I5" s="94"/>
      <c r="J5" s="94"/>
      <c r="K5" s="94"/>
      <c r="L5" s="94"/>
    </row>
    <row r="6" spans="1:12" ht="15" customHeight="1">
      <c r="A6" s="115"/>
      <c r="B6" s="115"/>
      <c r="C6" s="115"/>
      <c r="D6" s="115"/>
      <c r="E6" s="115"/>
      <c r="F6" s="115"/>
      <c r="G6" s="115"/>
      <c r="I6" s="94"/>
      <c r="J6" s="94"/>
      <c r="K6" s="94"/>
      <c r="L6" s="94"/>
    </row>
    <row r="7" spans="1:12" ht="15" customHeight="1">
      <c r="A7" s="115"/>
      <c r="B7" s="115"/>
      <c r="C7" s="115"/>
      <c r="D7" s="115"/>
      <c r="E7" s="115"/>
      <c r="F7" s="115"/>
      <c r="G7" s="115"/>
      <c r="I7" s="94"/>
      <c r="J7" s="94"/>
      <c r="K7" s="94"/>
      <c r="L7" s="94"/>
    </row>
    <row r="11" spans="1:12" ht="18.75">
      <c r="A11" s="91" t="s">
        <v>165</v>
      </c>
      <c r="B11" s="91"/>
      <c r="C11" s="91"/>
      <c r="D11" s="91"/>
      <c r="E11" s="91"/>
      <c r="F11" s="92"/>
      <c r="G11" s="92"/>
      <c r="H11" s="92"/>
    </row>
    <row r="13" spans="1:12" ht="36">
      <c r="A13" s="90" t="s">
        <v>166</v>
      </c>
      <c r="B13" s="90" t="s">
        <v>167</v>
      </c>
      <c r="C13" s="90" t="s">
        <v>168</v>
      </c>
      <c r="D13" s="90" t="s">
        <v>169</v>
      </c>
      <c r="E13" s="90" t="s">
        <v>170</v>
      </c>
    </row>
    <row r="14" spans="1:12">
      <c r="A14" s="4">
        <v>1970</v>
      </c>
      <c r="B14" s="88">
        <v>1959.75</v>
      </c>
      <c r="C14" s="88">
        <v>1751.87</v>
      </c>
      <c r="D14" s="88">
        <f>FORECAST(B14,$C$14:$C$28,$B$14:$B$28)</f>
        <v>1833.1003716624664</v>
      </c>
      <c r="E14" s="88">
        <f>C14-D14</f>
        <v>-81.230371662466496</v>
      </c>
    </row>
    <row r="15" spans="1:12">
      <c r="A15" s="4">
        <v>1971</v>
      </c>
      <c r="B15" s="88">
        <v>2239.09</v>
      </c>
      <c r="C15" s="88">
        <v>1986.35</v>
      </c>
      <c r="D15" s="88">
        <f>FORECAST(B15,$C$14:$C$28,$B$14:$B$28)</f>
        <v>2088.178775165934</v>
      </c>
      <c r="E15" s="88">
        <f t="shared" ref="E15:E28" si="0">C15-D15</f>
        <v>-101.82877516593408</v>
      </c>
    </row>
    <row r="16" spans="1:12">
      <c r="A16" s="4">
        <v>1972</v>
      </c>
      <c r="B16" s="88">
        <v>1613.84</v>
      </c>
      <c r="C16" s="88">
        <v>2327.9</v>
      </c>
      <c r="D16" s="88">
        <f t="shared" ref="D16:D28" si="1">FORECAST(B16,$C$14:$C$28,$B$14:$B$28)</f>
        <v>1517.2337913091894</v>
      </c>
      <c r="E16" s="88">
        <f t="shared" si="0"/>
        <v>810.66620869081066</v>
      </c>
    </row>
    <row r="17" spans="1:12">
      <c r="A17" s="4">
        <v>1973</v>
      </c>
      <c r="B17" s="88">
        <v>3176.06</v>
      </c>
      <c r="C17" s="88">
        <v>2600.1</v>
      </c>
      <c r="D17" s="88">
        <f t="shared" si="1"/>
        <v>2943.7698531735359</v>
      </c>
      <c r="E17" s="88">
        <f t="shared" si="0"/>
        <v>-343.66985317353601</v>
      </c>
    </row>
    <row r="18" spans="1:12">
      <c r="A18" s="4">
        <v>1974</v>
      </c>
      <c r="B18" s="88">
        <v>3921.6</v>
      </c>
      <c r="C18" s="88">
        <v>3550.7</v>
      </c>
      <c r="D18" s="88">
        <f t="shared" si="1"/>
        <v>3624.5572554359219</v>
      </c>
      <c r="E18" s="88">
        <f t="shared" si="0"/>
        <v>-73.85725543592207</v>
      </c>
    </row>
    <row r="19" spans="1:12">
      <c r="A19" s="4">
        <v>1975</v>
      </c>
      <c r="B19" s="88">
        <v>4624.7</v>
      </c>
      <c r="C19" s="88">
        <v>4101.7</v>
      </c>
      <c r="D19" s="88">
        <f t="shared" si="1"/>
        <v>4266.5907110931412</v>
      </c>
      <c r="E19" s="88">
        <f t="shared" si="0"/>
        <v>-164.89071109314136</v>
      </c>
    </row>
    <row r="20" spans="1:12">
      <c r="A20" s="4">
        <v>1976</v>
      </c>
      <c r="B20" s="88">
        <v>5566.02</v>
      </c>
      <c r="C20" s="88">
        <v>5012.6000000000004</v>
      </c>
      <c r="D20" s="88">
        <f t="shared" si="1"/>
        <v>5126.1539773131026</v>
      </c>
      <c r="E20" s="88">
        <f t="shared" si="0"/>
        <v>-113.55397731310222</v>
      </c>
    </row>
    <row r="21" spans="1:12">
      <c r="A21" s="4">
        <v>1977</v>
      </c>
      <c r="B21" s="88">
        <v>6977.84</v>
      </c>
      <c r="C21" s="88">
        <v>6360.2</v>
      </c>
      <c r="D21" s="88">
        <f t="shared" si="1"/>
        <v>6415.3527731685654</v>
      </c>
      <c r="E21" s="88">
        <f t="shared" si="0"/>
        <v>-55.152773168565545</v>
      </c>
    </row>
    <row r="22" spans="1:12">
      <c r="A22" s="4">
        <v>1978</v>
      </c>
      <c r="B22" s="88">
        <v>8542.51</v>
      </c>
      <c r="C22" s="88">
        <v>7990.13</v>
      </c>
      <c r="D22" s="88">
        <f t="shared" si="1"/>
        <v>7844.126044485849</v>
      </c>
      <c r="E22" s="88">
        <f t="shared" si="0"/>
        <v>146.00395551415113</v>
      </c>
    </row>
    <row r="23" spans="1:12">
      <c r="A23" s="4">
        <v>1979</v>
      </c>
      <c r="B23" s="88">
        <v>9949.9</v>
      </c>
      <c r="C23" s="88">
        <v>9053.5</v>
      </c>
      <c r="D23" s="88">
        <f>FORECAST(B23,$C$14:$C$28,$B$14:$B$28)</f>
        <v>9129.2796003917138</v>
      </c>
      <c r="E23" s="88">
        <f t="shared" si="0"/>
        <v>-75.779600391713757</v>
      </c>
    </row>
    <row r="24" spans="1:12">
      <c r="A24" s="4">
        <v>1980</v>
      </c>
      <c r="B24" s="88">
        <v>11447.5</v>
      </c>
      <c r="C24" s="88">
        <v>10695.4</v>
      </c>
      <c r="D24" s="88">
        <f t="shared" si="1"/>
        <v>10496.808121501446</v>
      </c>
      <c r="E24" s="88">
        <f t="shared" si="0"/>
        <v>198.59187849855334</v>
      </c>
    </row>
    <row r="25" spans="1:12">
      <c r="A25" s="4">
        <v>1981</v>
      </c>
      <c r="B25" s="88">
        <v>13123.04</v>
      </c>
      <c r="C25" s="88">
        <v>12093.8</v>
      </c>
      <c r="D25" s="88">
        <f t="shared" si="1"/>
        <v>12026.821969164508</v>
      </c>
      <c r="E25" s="88">
        <f t="shared" si="0"/>
        <v>66.978030835491154</v>
      </c>
    </row>
    <row r="26" spans="1:12">
      <c r="A26" s="4">
        <v>1982</v>
      </c>
      <c r="B26" s="88">
        <v>15069.5</v>
      </c>
      <c r="C26" s="88">
        <v>12906.27</v>
      </c>
      <c r="D26" s="88">
        <f t="shared" si="1"/>
        <v>13804.225524986656</v>
      </c>
      <c r="E26" s="88">
        <f t="shared" si="0"/>
        <v>-897.95552498665529</v>
      </c>
    </row>
    <row r="27" spans="1:12" ht="20.25" customHeight="1">
      <c r="A27" s="4">
        <v>1983</v>
      </c>
      <c r="B27" s="88">
        <v>16801.599999999999</v>
      </c>
      <c r="C27" s="88">
        <v>15720.1</v>
      </c>
      <c r="D27" s="88">
        <f t="shared" si="1"/>
        <v>15385.886950877522</v>
      </c>
      <c r="E27" s="88">
        <f t="shared" si="0"/>
        <v>334.21304912247797</v>
      </c>
    </row>
    <row r="28" spans="1:12" ht="18.75">
      <c r="A28" s="4">
        <v>1984</v>
      </c>
      <c r="B28" s="88">
        <v>18523.5</v>
      </c>
      <c r="C28" s="88">
        <v>17309.7</v>
      </c>
      <c r="D28" s="88">
        <f t="shared" si="1"/>
        <v>16958.234280270452</v>
      </c>
      <c r="E28" s="88">
        <f t="shared" si="0"/>
        <v>351.46571972954916</v>
      </c>
      <c r="I28" s="95"/>
      <c r="J28" s="95"/>
      <c r="K28" s="95"/>
    </row>
    <row r="29" spans="1:12" ht="18.75">
      <c r="I29" s="95"/>
      <c r="J29" s="95"/>
      <c r="K29" s="95"/>
      <c r="L29" s="95"/>
    </row>
    <row r="30" spans="1:12" ht="18.75">
      <c r="B30" s="58"/>
      <c r="C30" s="58"/>
      <c r="D30" s="58"/>
      <c r="E30" s="58"/>
      <c r="F30" s="58"/>
      <c r="G30" s="58"/>
      <c r="H30" s="58"/>
      <c r="I30" s="58"/>
      <c r="J30" s="58"/>
      <c r="K30" s="58"/>
      <c r="L30" s="58"/>
    </row>
  </sheetData>
  <mergeCells count="1">
    <mergeCell ref="A1:G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4F134-2843-436F-8BA8-8B635D5CA1CD}">
  <dimension ref="A1:Q24"/>
  <sheetViews>
    <sheetView workbookViewId="0">
      <selection activeCell="I11" sqref="I11"/>
    </sheetView>
  </sheetViews>
  <sheetFormatPr defaultRowHeight="15"/>
  <cols>
    <col min="1" max="1" width="11.7109375" customWidth="1"/>
    <col min="2" max="2" width="14.42578125" bestFit="1" customWidth="1"/>
    <col min="3" max="3" width="10" bestFit="1" customWidth="1"/>
    <col min="4" max="4" width="12.5703125" bestFit="1" customWidth="1"/>
    <col min="5" max="5" width="9.28515625" bestFit="1" customWidth="1"/>
    <col min="6" max="6" width="36.5703125" bestFit="1" customWidth="1"/>
    <col min="7" max="7" width="12.28515625" bestFit="1" customWidth="1"/>
    <col min="8" max="8" width="22.7109375" bestFit="1" customWidth="1"/>
  </cols>
  <sheetData>
    <row r="1" spans="1:17">
      <c r="A1" s="96" t="s">
        <v>171</v>
      </c>
      <c r="B1" s="97"/>
      <c r="C1" s="97"/>
      <c r="D1" s="97"/>
      <c r="E1" s="97"/>
      <c r="F1" s="97"/>
      <c r="G1" s="97"/>
      <c r="H1" s="97"/>
      <c r="I1" s="97"/>
    </row>
    <row r="2" spans="1:17">
      <c r="A2" s="97"/>
      <c r="B2" s="97"/>
      <c r="C2" s="97"/>
      <c r="D2" s="97"/>
      <c r="E2" s="97"/>
      <c r="F2" s="97"/>
      <c r="G2" s="97"/>
      <c r="H2" s="97"/>
      <c r="I2" s="97"/>
    </row>
    <row r="3" spans="1:17">
      <c r="A3" s="97"/>
      <c r="B3" s="97"/>
      <c r="C3" s="97"/>
      <c r="D3" s="97"/>
      <c r="E3" s="97"/>
      <c r="F3" s="97"/>
      <c r="G3" s="97"/>
      <c r="H3" s="97"/>
      <c r="I3" s="97"/>
    </row>
    <row r="4" spans="1:17" ht="15" customHeight="1">
      <c r="A4" s="97"/>
      <c r="B4" s="97"/>
      <c r="C4" s="97"/>
      <c r="D4" s="97"/>
      <c r="E4" s="97"/>
      <c r="F4" s="97"/>
      <c r="G4" s="97"/>
      <c r="H4" s="97"/>
      <c r="I4" s="97"/>
      <c r="K4" s="94"/>
      <c r="L4" s="94"/>
      <c r="M4" s="94"/>
      <c r="N4" s="94"/>
      <c r="O4" s="94"/>
      <c r="P4" s="83"/>
      <c r="Q4" s="83"/>
    </row>
    <row r="5" spans="1:17" ht="15" customHeight="1">
      <c r="A5" s="97"/>
      <c r="B5" s="97"/>
      <c r="C5" s="97"/>
      <c r="D5" s="97"/>
      <c r="E5" s="97"/>
      <c r="F5" s="97"/>
      <c r="G5" s="97"/>
      <c r="H5" s="97"/>
      <c r="I5" s="97"/>
      <c r="K5" s="94"/>
      <c r="L5" s="94"/>
      <c r="M5" s="94"/>
      <c r="N5" s="94"/>
      <c r="O5" s="94"/>
      <c r="P5" s="83"/>
      <c r="Q5" s="83"/>
    </row>
    <row r="6" spans="1:17" ht="15" customHeight="1">
      <c r="A6" s="97"/>
      <c r="B6" s="97"/>
      <c r="C6" s="97"/>
      <c r="D6" s="97"/>
      <c r="E6" s="97"/>
      <c r="F6" s="97"/>
      <c r="G6" s="97"/>
      <c r="H6" s="97"/>
      <c r="I6" s="97"/>
      <c r="K6" s="94"/>
      <c r="L6" s="94"/>
      <c r="M6" s="94"/>
      <c r="N6" s="94"/>
      <c r="O6" s="94"/>
      <c r="P6" s="83"/>
      <c r="Q6" s="83"/>
    </row>
    <row r="7" spans="1:17">
      <c r="A7" s="97"/>
      <c r="B7" s="97"/>
      <c r="C7" s="97"/>
      <c r="D7" s="97"/>
      <c r="E7" s="97"/>
      <c r="F7" s="97"/>
      <c r="G7" s="97"/>
      <c r="H7" s="97"/>
      <c r="I7" s="97"/>
    </row>
    <row r="8" spans="1:17" ht="30.75">
      <c r="D8" s="104" t="s">
        <v>172</v>
      </c>
      <c r="E8" s="104"/>
      <c r="F8" s="104"/>
      <c r="K8" s="95"/>
      <c r="L8" s="95"/>
      <c r="M8" s="95"/>
    </row>
    <row r="10" spans="1:17">
      <c r="A10" s="119" t="s">
        <v>173</v>
      </c>
      <c r="B10" s="119" t="s">
        <v>25</v>
      </c>
      <c r="C10" s="119" t="s">
        <v>26</v>
      </c>
      <c r="D10" s="119" t="s">
        <v>27</v>
      </c>
      <c r="E10" s="119" t="s">
        <v>174</v>
      </c>
      <c r="F10" s="119" t="s">
        <v>28</v>
      </c>
      <c r="G10" s="119" t="s">
        <v>175</v>
      </c>
    </row>
    <row r="11" spans="1:17">
      <c r="A11" s="120" t="s">
        <v>30</v>
      </c>
      <c r="B11" s="117">
        <v>42000</v>
      </c>
      <c r="C11" s="120">
        <v>2</v>
      </c>
      <c r="D11" s="117">
        <f t="shared" ref="D11:D16" si="0">B11*C11</f>
        <v>84000</v>
      </c>
      <c r="E11" s="118">
        <f t="shared" ref="E11:E16" si="1">IF(D11&lt;=50000,5%,IF(D11&lt;=150000,8%,12%))</f>
        <v>0.08</v>
      </c>
      <c r="F11" s="117">
        <f t="shared" ref="F11:F16" si="2">D11*(1-E11)</f>
        <v>77280</v>
      </c>
      <c r="G11" s="117">
        <f t="shared" ref="G11:G16" si="3">F11*(1+$G$3)</f>
        <v>77280</v>
      </c>
    </row>
    <row r="12" spans="1:17">
      <c r="A12" s="120" t="s">
        <v>176</v>
      </c>
      <c r="B12" s="117">
        <v>89000</v>
      </c>
      <c r="C12" s="120">
        <v>4</v>
      </c>
      <c r="D12" s="117">
        <f t="shared" si="0"/>
        <v>356000</v>
      </c>
      <c r="E12" s="118">
        <f t="shared" si="1"/>
        <v>0.12</v>
      </c>
      <c r="F12" s="117">
        <f t="shared" si="2"/>
        <v>313280</v>
      </c>
      <c r="G12" s="117">
        <f t="shared" si="3"/>
        <v>313280</v>
      </c>
    </row>
    <row r="13" spans="1:17">
      <c r="A13" s="120" t="s">
        <v>32</v>
      </c>
      <c r="B13" s="117">
        <v>32000</v>
      </c>
      <c r="C13" s="120">
        <v>4</v>
      </c>
      <c r="D13" s="117">
        <f t="shared" si="0"/>
        <v>128000</v>
      </c>
      <c r="E13" s="118">
        <f t="shared" si="1"/>
        <v>0.08</v>
      </c>
      <c r="F13" s="117">
        <f t="shared" si="2"/>
        <v>117760</v>
      </c>
      <c r="G13" s="117">
        <f t="shared" si="3"/>
        <v>117760</v>
      </c>
    </row>
    <row r="14" spans="1:17">
      <c r="A14" s="120" t="s">
        <v>33</v>
      </c>
      <c r="B14" s="117">
        <v>3000</v>
      </c>
      <c r="C14" s="120">
        <v>4</v>
      </c>
      <c r="D14" s="117">
        <f t="shared" si="0"/>
        <v>12000</v>
      </c>
      <c r="E14" s="118">
        <f t="shared" si="1"/>
        <v>0.05</v>
      </c>
      <c r="F14" s="117">
        <f t="shared" si="2"/>
        <v>11400</v>
      </c>
      <c r="G14" s="117">
        <f t="shared" si="3"/>
        <v>11400</v>
      </c>
    </row>
    <row r="15" spans="1:17">
      <c r="A15" s="120" t="s">
        <v>34</v>
      </c>
      <c r="B15" s="117">
        <v>16000</v>
      </c>
      <c r="C15" s="120">
        <v>4</v>
      </c>
      <c r="D15" s="117">
        <f t="shared" si="0"/>
        <v>64000</v>
      </c>
      <c r="E15" s="118">
        <f t="shared" si="1"/>
        <v>0.08</v>
      </c>
      <c r="F15" s="117">
        <f t="shared" si="2"/>
        <v>58880</v>
      </c>
      <c r="G15" s="117">
        <f t="shared" si="3"/>
        <v>58880</v>
      </c>
    </row>
    <row r="16" spans="1:17">
      <c r="A16" s="120" t="s">
        <v>177</v>
      </c>
      <c r="B16" s="117">
        <v>13521</v>
      </c>
      <c r="C16" s="120">
        <v>1</v>
      </c>
      <c r="D16" s="117">
        <f t="shared" si="0"/>
        <v>13521</v>
      </c>
      <c r="E16" s="118">
        <f t="shared" si="1"/>
        <v>0.05</v>
      </c>
      <c r="F16" s="117">
        <f t="shared" si="2"/>
        <v>12844.949999999999</v>
      </c>
      <c r="G16" s="117">
        <f t="shared" si="3"/>
        <v>12844.949999999999</v>
      </c>
    </row>
    <row r="17" spans="1:7">
      <c r="A17" s="120"/>
      <c r="B17" s="120"/>
      <c r="C17" s="124" t="s">
        <v>60</v>
      </c>
      <c r="D17" s="125">
        <f>SUM(D11:D16)</f>
        <v>657521</v>
      </c>
      <c r="E17" s="120"/>
      <c r="F17" s="125">
        <f>SUM(F11:F16)</f>
        <v>591444.94999999995</v>
      </c>
      <c r="G17" s="125">
        <f>SUM(G11:G16)</f>
        <v>591444.94999999995</v>
      </c>
    </row>
    <row r="19" spans="1:7">
      <c r="A19" s="126" t="s">
        <v>178</v>
      </c>
      <c r="B19" s="9"/>
    </row>
    <row r="20" spans="1:7">
      <c r="A20" s="127" t="s">
        <v>179</v>
      </c>
      <c r="B20" s="127" t="s">
        <v>180</v>
      </c>
    </row>
    <row r="21" spans="1:7">
      <c r="A21" s="120" t="s">
        <v>181</v>
      </c>
      <c r="B21" s="118">
        <v>0.05</v>
      </c>
    </row>
    <row r="22" spans="1:7">
      <c r="A22" s="120" t="s">
        <v>182</v>
      </c>
      <c r="B22" s="118">
        <v>0.08</v>
      </c>
    </row>
    <row r="23" spans="1:7">
      <c r="A23" s="120" t="s">
        <v>183</v>
      </c>
      <c r="B23" s="118">
        <v>0.12</v>
      </c>
    </row>
    <row r="24" spans="1:7">
      <c r="A24" s="9"/>
      <c r="B24" s="9"/>
    </row>
  </sheetData>
  <mergeCells count="2">
    <mergeCell ref="A1:I7"/>
    <mergeCell ref="D8:F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885C-4067-46C6-8838-31414A8AA5D4}">
  <dimension ref="A1:K23"/>
  <sheetViews>
    <sheetView workbookViewId="0">
      <selection activeCell="I2" sqref="I2:K2"/>
    </sheetView>
  </sheetViews>
  <sheetFormatPr defaultRowHeight="15"/>
  <cols>
    <col min="1" max="1" width="13.42578125" customWidth="1"/>
    <col min="2" max="2" width="12.140625" customWidth="1"/>
    <col min="3" max="3" width="10.28515625" bestFit="1" customWidth="1"/>
    <col min="7" max="7" width="9.85546875" bestFit="1" customWidth="1"/>
    <col min="9" max="9" width="13.42578125" customWidth="1"/>
  </cols>
  <sheetData>
    <row r="1" spans="1:11">
      <c r="A1" s="96" t="s">
        <v>184</v>
      </c>
      <c r="B1" s="96"/>
      <c r="C1" s="96"/>
      <c r="D1" s="96"/>
      <c r="E1" s="96"/>
      <c r="F1" s="96"/>
      <c r="G1" s="96"/>
      <c r="H1" s="96"/>
    </row>
    <row r="2" spans="1:11" ht="30.75">
      <c r="A2" s="96"/>
      <c r="B2" s="96"/>
      <c r="C2" s="96"/>
      <c r="D2" s="96"/>
      <c r="E2" s="96"/>
      <c r="F2" s="96"/>
      <c r="G2" s="96"/>
      <c r="H2" s="96"/>
      <c r="I2" s="104" t="s">
        <v>185</v>
      </c>
      <c r="J2" s="104"/>
      <c r="K2" s="104"/>
    </row>
    <row r="3" spans="1:11">
      <c r="A3" s="96"/>
      <c r="B3" s="96"/>
      <c r="C3" s="96"/>
      <c r="D3" s="96"/>
      <c r="E3" s="96"/>
      <c r="F3" s="96"/>
      <c r="G3" s="96"/>
      <c r="H3" s="96"/>
    </row>
    <row r="4" spans="1:11">
      <c r="A4" s="96"/>
      <c r="B4" s="96"/>
      <c r="C4" s="96"/>
      <c r="D4" s="96"/>
      <c r="E4" s="96"/>
      <c r="F4" s="96"/>
      <c r="G4" s="96"/>
      <c r="H4" s="96"/>
    </row>
    <row r="5" spans="1:11">
      <c r="I5" s="128" t="s">
        <v>186</v>
      </c>
      <c r="J5" s="128"/>
      <c r="K5" s="128"/>
    </row>
    <row r="6" spans="1:11">
      <c r="I6" s="116" t="s">
        <v>187</v>
      </c>
      <c r="J6" s="116" t="s">
        <v>188</v>
      </c>
      <c r="K6" s="116" t="s">
        <v>189</v>
      </c>
    </row>
    <row r="7" spans="1:11">
      <c r="I7" s="117">
        <v>100000</v>
      </c>
      <c r="J7" s="118">
        <v>0.03</v>
      </c>
      <c r="K7" s="118">
        <v>0.1</v>
      </c>
    </row>
    <row r="8" spans="1:11">
      <c r="I8" s="117">
        <v>150000</v>
      </c>
      <c r="J8" s="118">
        <v>0.04</v>
      </c>
      <c r="K8" s="118">
        <v>0.11</v>
      </c>
    </row>
    <row r="9" spans="1:11">
      <c r="I9" s="117">
        <v>200000</v>
      </c>
      <c r="J9" s="118">
        <v>0.05</v>
      </c>
      <c r="K9" s="118">
        <v>0.12</v>
      </c>
    </row>
    <row r="10" spans="1:11">
      <c r="I10" s="117">
        <v>250000</v>
      </c>
      <c r="J10" s="118">
        <v>0.06</v>
      </c>
      <c r="K10" s="118">
        <v>0.13</v>
      </c>
    </row>
    <row r="11" spans="1:11">
      <c r="I11" s="117">
        <v>300001</v>
      </c>
      <c r="J11" s="118">
        <v>7.0000000000000007E-2</v>
      </c>
      <c r="K11" s="118">
        <v>0.15</v>
      </c>
    </row>
    <row r="15" spans="1:11">
      <c r="A15" s="119" t="s">
        <v>42</v>
      </c>
      <c r="B15" s="119" t="s">
        <v>190</v>
      </c>
      <c r="C15" s="119" t="s">
        <v>43</v>
      </c>
      <c r="D15" s="119" t="s">
        <v>191</v>
      </c>
      <c r="E15" s="119" t="s">
        <v>192</v>
      </c>
      <c r="F15" s="119" t="s">
        <v>193</v>
      </c>
      <c r="G15" s="119" t="s">
        <v>194</v>
      </c>
    </row>
    <row r="16" spans="1:11">
      <c r="A16" s="120" t="s">
        <v>195</v>
      </c>
      <c r="B16" s="120" t="s">
        <v>196</v>
      </c>
      <c r="C16" s="117">
        <v>300000</v>
      </c>
      <c r="D16" s="117">
        <f>C16*VLOOKUP(C16,$I$5:$K$11,2,TRUE())</f>
        <v>18000</v>
      </c>
      <c r="E16" s="117">
        <f>C16*VLOOKUP(C16,$I$5:$K$11,3,TRUE())</f>
        <v>39000</v>
      </c>
      <c r="F16" s="117">
        <f t="shared" ref="F16:F23" si="0">D16+E16</f>
        <v>57000</v>
      </c>
      <c r="G16" s="117">
        <f t="shared" ref="G16:G23" si="1">C16-F16</f>
        <v>243000</v>
      </c>
    </row>
    <row r="17" spans="1:7">
      <c r="A17" s="120" t="s">
        <v>197</v>
      </c>
      <c r="B17" s="120" t="s">
        <v>198</v>
      </c>
      <c r="C17" s="117">
        <v>150000</v>
      </c>
      <c r="D17" s="117">
        <f t="shared" ref="D17:D23" si="2">C17*VLOOKUP(C17,$I$5:$K$11,2,TRUE())</f>
        <v>6000</v>
      </c>
      <c r="E17" s="117">
        <f t="shared" ref="E17:E23" si="3">C17*VLOOKUP(C17,$I$5:$K$11,3,TRUE())</f>
        <v>16500</v>
      </c>
      <c r="F17" s="117">
        <f t="shared" si="0"/>
        <v>22500</v>
      </c>
      <c r="G17" s="117">
        <f>C17-F17</f>
        <v>127500</v>
      </c>
    </row>
    <row r="18" spans="1:7">
      <c r="A18" s="120" t="s">
        <v>199</v>
      </c>
      <c r="B18" s="120" t="s">
        <v>196</v>
      </c>
      <c r="C18" s="117">
        <v>360000</v>
      </c>
      <c r="D18" s="117">
        <f t="shared" si="2"/>
        <v>25200.000000000004</v>
      </c>
      <c r="E18" s="117">
        <f>C18*VLOOKUP(C18,$I$5:$K$11,3,TRUE())</f>
        <v>54000</v>
      </c>
      <c r="F18" s="117">
        <f>D18+E18</f>
        <v>79200</v>
      </c>
      <c r="G18" s="117">
        <f t="shared" si="1"/>
        <v>280800</v>
      </c>
    </row>
    <row r="19" spans="1:7">
      <c r="A19" s="120" t="s">
        <v>195</v>
      </c>
      <c r="B19" s="120" t="s">
        <v>198</v>
      </c>
      <c r="C19" s="117">
        <v>200000</v>
      </c>
      <c r="D19" s="117">
        <f t="shared" si="2"/>
        <v>10000</v>
      </c>
      <c r="E19" s="117">
        <f t="shared" si="3"/>
        <v>24000</v>
      </c>
      <c r="F19" s="117">
        <f t="shared" si="0"/>
        <v>34000</v>
      </c>
      <c r="G19" s="117">
        <f t="shared" si="1"/>
        <v>166000</v>
      </c>
    </row>
    <row r="20" spans="1:7">
      <c r="A20" s="120" t="s">
        <v>197</v>
      </c>
      <c r="B20" s="120" t="s">
        <v>196</v>
      </c>
      <c r="C20" s="117">
        <v>150000</v>
      </c>
      <c r="D20" s="117">
        <f t="shared" si="2"/>
        <v>6000</v>
      </c>
      <c r="E20" s="117">
        <f t="shared" si="3"/>
        <v>16500</v>
      </c>
      <c r="F20" s="117">
        <f t="shared" si="0"/>
        <v>22500</v>
      </c>
      <c r="G20" s="117">
        <f t="shared" si="1"/>
        <v>127500</v>
      </c>
    </row>
    <row r="21" spans="1:7">
      <c r="A21" s="120" t="s">
        <v>199</v>
      </c>
      <c r="B21" s="120" t="s">
        <v>198</v>
      </c>
      <c r="C21" s="117">
        <v>250000</v>
      </c>
      <c r="D21" s="117">
        <f t="shared" si="2"/>
        <v>15000</v>
      </c>
      <c r="E21" s="117">
        <f t="shared" si="3"/>
        <v>32500</v>
      </c>
      <c r="F21" s="117">
        <f t="shared" si="0"/>
        <v>47500</v>
      </c>
      <c r="G21" s="117">
        <f t="shared" si="1"/>
        <v>202500</v>
      </c>
    </row>
    <row r="22" spans="1:7">
      <c r="A22" s="120" t="s">
        <v>195</v>
      </c>
      <c r="B22" s="120" t="s">
        <v>196</v>
      </c>
      <c r="C22" s="117">
        <v>230000</v>
      </c>
      <c r="D22" s="117">
        <f t="shared" si="2"/>
        <v>11500</v>
      </c>
      <c r="E22" s="117">
        <f t="shared" si="3"/>
        <v>27600</v>
      </c>
      <c r="F22" s="117">
        <f t="shared" si="0"/>
        <v>39100</v>
      </c>
      <c r="G22" s="117">
        <f t="shared" si="1"/>
        <v>190900</v>
      </c>
    </row>
    <row r="23" spans="1:7">
      <c r="A23" s="120" t="s">
        <v>197</v>
      </c>
      <c r="B23" s="120" t="s">
        <v>198</v>
      </c>
      <c r="C23" s="117">
        <v>175000</v>
      </c>
      <c r="D23" s="117">
        <f t="shared" si="2"/>
        <v>7000</v>
      </c>
      <c r="E23" s="117">
        <f t="shared" si="3"/>
        <v>19250</v>
      </c>
      <c r="F23" s="117">
        <f t="shared" si="0"/>
        <v>26250</v>
      </c>
      <c r="G23" s="117">
        <f t="shared" si="1"/>
        <v>148750</v>
      </c>
    </row>
  </sheetData>
  <mergeCells count="3">
    <mergeCell ref="A1:H4"/>
    <mergeCell ref="I5:K5"/>
    <mergeCell ref="I2:K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47DDD-C58B-4BCD-B109-6213C616F127}">
  <dimension ref="A1:T32"/>
  <sheetViews>
    <sheetView workbookViewId="0">
      <selection activeCell="G6" sqref="G6"/>
    </sheetView>
  </sheetViews>
  <sheetFormatPr defaultRowHeight="15"/>
  <cols>
    <col min="1" max="1" width="23.28515625" customWidth="1"/>
    <col min="2" max="2" width="36.5703125" bestFit="1" customWidth="1"/>
    <col min="3" max="3" width="19.85546875" bestFit="1" customWidth="1"/>
    <col min="4" max="4" width="10.140625" bestFit="1" customWidth="1"/>
  </cols>
  <sheetData>
    <row r="1" spans="1:20" ht="15" customHeight="1">
      <c r="A1" s="96" t="s">
        <v>200</v>
      </c>
      <c r="B1" s="97"/>
      <c r="C1" s="97"/>
      <c r="D1" s="97"/>
      <c r="E1" s="97"/>
      <c r="F1" s="97"/>
      <c r="G1" s="97"/>
      <c r="H1" s="97"/>
      <c r="I1" s="97"/>
    </row>
    <row r="2" spans="1:20" ht="15" customHeight="1">
      <c r="A2" s="97"/>
      <c r="B2" s="97"/>
      <c r="C2" s="97"/>
      <c r="D2" s="97"/>
      <c r="E2" s="97"/>
      <c r="F2" s="97"/>
      <c r="G2" s="97"/>
      <c r="H2" s="97"/>
      <c r="I2" s="97"/>
    </row>
    <row r="3" spans="1:20" ht="15" customHeight="1">
      <c r="A3" s="97"/>
      <c r="B3" s="97"/>
      <c r="C3" s="97"/>
      <c r="D3" s="97"/>
      <c r="E3" s="97"/>
      <c r="F3" s="97"/>
      <c r="G3" s="97"/>
      <c r="H3" s="97"/>
      <c r="I3" s="97"/>
    </row>
    <row r="4" spans="1:20" ht="18.75">
      <c r="K4" s="95"/>
      <c r="L4" s="95"/>
      <c r="M4" s="95"/>
      <c r="N4" s="95"/>
      <c r="O4" s="95"/>
      <c r="P4" s="95"/>
      <c r="Q4" s="95"/>
      <c r="R4" s="95"/>
      <c r="S4" s="95"/>
      <c r="T4" s="95"/>
    </row>
    <row r="5" spans="1:20" ht="30.75">
      <c r="A5" s="121"/>
      <c r="B5" s="104" t="s">
        <v>201</v>
      </c>
      <c r="C5" s="104"/>
      <c r="D5" s="104"/>
    </row>
    <row r="6" spans="1:20">
      <c r="F6" s="122" t="s">
        <v>202</v>
      </c>
      <c r="G6" s="84">
        <v>0.97</v>
      </c>
    </row>
    <row r="7" spans="1:20">
      <c r="A7" s="119" t="s">
        <v>173</v>
      </c>
      <c r="B7" s="119" t="s">
        <v>203</v>
      </c>
      <c r="C7" s="119" t="s">
        <v>204</v>
      </c>
      <c r="D7" s="119" t="s">
        <v>205</v>
      </c>
    </row>
    <row r="8" spans="1:20">
      <c r="A8" s="120" t="s">
        <v>206</v>
      </c>
      <c r="B8" s="120" t="s">
        <v>207</v>
      </c>
      <c r="C8" s="123">
        <v>3500</v>
      </c>
      <c r="D8" s="123">
        <f>3500*$G$6</f>
        <v>3395</v>
      </c>
    </row>
    <row r="9" spans="1:20">
      <c r="A9" s="120" t="s">
        <v>208</v>
      </c>
      <c r="B9" s="120" t="s">
        <v>207</v>
      </c>
      <c r="C9" s="123">
        <v>4900</v>
      </c>
      <c r="D9" s="123">
        <f>4900*$G$6</f>
        <v>4753</v>
      </c>
    </row>
    <row r="10" spans="1:20">
      <c r="A10" s="120" t="s">
        <v>209</v>
      </c>
      <c r="B10" s="120" t="s">
        <v>207</v>
      </c>
      <c r="C10" s="123">
        <v>8900</v>
      </c>
      <c r="D10" s="123">
        <f>8900*$G$6</f>
        <v>8633</v>
      </c>
    </row>
    <row r="11" spans="1:20">
      <c r="A11" s="120" t="s">
        <v>210</v>
      </c>
      <c r="B11" s="120" t="s">
        <v>207</v>
      </c>
      <c r="C11" s="123">
        <v>8900</v>
      </c>
      <c r="D11" s="123">
        <f>8900*$G$6</f>
        <v>8633</v>
      </c>
    </row>
    <row r="12" spans="1:20">
      <c r="A12" s="120" t="s">
        <v>211</v>
      </c>
      <c r="B12" s="120" t="s">
        <v>207</v>
      </c>
      <c r="C12" s="123">
        <v>16900</v>
      </c>
      <c r="D12" s="123">
        <f>16900*$G$6</f>
        <v>16393</v>
      </c>
    </row>
    <row r="13" spans="1:20">
      <c r="A13" s="120" t="s">
        <v>212</v>
      </c>
      <c r="B13" s="120" t="s">
        <v>207</v>
      </c>
      <c r="C13" s="123">
        <v>36900</v>
      </c>
      <c r="D13" s="123">
        <f>36900*$G$6</f>
        <v>35793</v>
      </c>
    </row>
    <row r="14" spans="1:20">
      <c r="A14" s="120" t="s">
        <v>213</v>
      </c>
      <c r="B14" s="120" t="s">
        <v>207</v>
      </c>
      <c r="C14" s="123">
        <v>39900</v>
      </c>
      <c r="D14" s="123">
        <f>39900*$G$6</f>
        <v>38703</v>
      </c>
    </row>
    <row r="15" spans="1:20">
      <c r="A15" s="120" t="s">
        <v>214</v>
      </c>
      <c r="B15" s="120" t="s">
        <v>207</v>
      </c>
      <c r="C15" s="123">
        <v>43900</v>
      </c>
      <c r="D15" s="123">
        <f>43900*$G$6</f>
        <v>42583</v>
      </c>
    </row>
    <row r="16" spans="1:20">
      <c r="A16" s="120" t="s">
        <v>215</v>
      </c>
      <c r="B16" s="120" t="s">
        <v>207</v>
      </c>
      <c r="C16" s="123">
        <v>21900</v>
      </c>
      <c r="D16" s="123">
        <f>21900*$G$6</f>
        <v>21243</v>
      </c>
    </row>
    <row r="17" spans="1:15">
      <c r="A17" s="120" t="s">
        <v>216</v>
      </c>
      <c r="B17" s="120" t="s">
        <v>207</v>
      </c>
      <c r="C17" s="123">
        <v>33900</v>
      </c>
      <c r="D17" s="123">
        <f>33900*$G$6</f>
        <v>32883</v>
      </c>
    </row>
    <row r="18" spans="1:15">
      <c r="A18" s="120" t="s">
        <v>217</v>
      </c>
      <c r="B18" s="120" t="s">
        <v>207</v>
      </c>
      <c r="C18" s="123">
        <v>39900</v>
      </c>
      <c r="D18" s="123">
        <f>39900*$G$6</f>
        <v>38703</v>
      </c>
    </row>
    <row r="19" spans="1:15">
      <c r="A19" s="120" t="s">
        <v>218</v>
      </c>
      <c r="B19" s="120" t="s">
        <v>219</v>
      </c>
      <c r="C19" s="123">
        <v>12900</v>
      </c>
      <c r="D19" s="123">
        <f>12900*$G$6</f>
        <v>12513</v>
      </c>
    </row>
    <row r="20" spans="1:15">
      <c r="A20" s="120" t="s">
        <v>220</v>
      </c>
      <c r="B20" s="120" t="s">
        <v>219</v>
      </c>
      <c r="C20" s="123">
        <v>28900</v>
      </c>
      <c r="D20" s="123">
        <f>28900*$G$6</f>
        <v>28033</v>
      </c>
    </row>
    <row r="21" spans="1:15">
      <c r="A21" s="120" t="s">
        <v>221</v>
      </c>
      <c r="B21" s="120" t="s">
        <v>219</v>
      </c>
      <c r="C21" s="123">
        <v>82900</v>
      </c>
      <c r="D21" s="123">
        <f>82900*$G$6</f>
        <v>80413</v>
      </c>
    </row>
    <row r="22" spans="1:15">
      <c r="A22" s="120" t="s">
        <v>222</v>
      </c>
      <c r="B22" s="120" t="s">
        <v>219</v>
      </c>
      <c r="C22" s="123">
        <v>12900</v>
      </c>
      <c r="D22" s="123">
        <f>12900*$G$6</f>
        <v>12513</v>
      </c>
    </row>
    <row r="23" spans="1:15">
      <c r="A23" s="120" t="s">
        <v>223</v>
      </c>
      <c r="B23" s="120" t="s">
        <v>224</v>
      </c>
      <c r="C23" s="123">
        <v>12900</v>
      </c>
      <c r="D23" s="123">
        <f>12900*$G$6</f>
        <v>12513</v>
      </c>
    </row>
    <row r="24" spans="1:15">
      <c r="A24" s="120" t="s">
        <v>225</v>
      </c>
      <c r="B24" s="120" t="s">
        <v>224</v>
      </c>
      <c r="C24" s="123">
        <v>15900</v>
      </c>
      <c r="D24" s="123">
        <f>15900*$G$6</f>
        <v>15423</v>
      </c>
    </row>
    <row r="25" spans="1:15">
      <c r="A25" s="120" t="s">
        <v>226</v>
      </c>
      <c r="B25" s="120" t="s">
        <v>224</v>
      </c>
      <c r="C25" s="123">
        <v>8900</v>
      </c>
      <c r="D25" s="123">
        <f>8900*$G$6</f>
        <v>8633</v>
      </c>
    </row>
    <row r="26" spans="1:15">
      <c r="A26" s="120" t="s">
        <v>227</v>
      </c>
      <c r="B26" s="120" t="s">
        <v>224</v>
      </c>
      <c r="C26" s="123">
        <v>29900</v>
      </c>
      <c r="D26" s="123">
        <f>29900*$G$6</f>
        <v>29003</v>
      </c>
    </row>
    <row r="27" spans="1:15" ht="18.75">
      <c r="A27" s="9"/>
      <c r="B27" s="9"/>
      <c r="C27" s="9"/>
      <c r="D27" s="9"/>
      <c r="K27" s="95"/>
      <c r="L27" s="95"/>
      <c r="M27" s="95"/>
      <c r="N27" s="95"/>
      <c r="O27" s="95"/>
    </row>
    <row r="28" spans="1:15">
      <c r="A28" s="9"/>
      <c r="B28" s="9"/>
      <c r="C28" s="9"/>
      <c r="D28" s="9"/>
    </row>
    <row r="29" spans="1:15">
      <c r="A29" s="9" t="s">
        <v>203</v>
      </c>
      <c r="B29" s="9" t="s">
        <v>228</v>
      </c>
      <c r="C29" s="9"/>
      <c r="D29" s="9"/>
    </row>
    <row r="30" spans="1:15">
      <c r="A30" s="9" t="s">
        <v>219</v>
      </c>
      <c r="B30" s="9">
        <v>4</v>
      </c>
      <c r="C30" s="9"/>
      <c r="D30" s="9"/>
    </row>
    <row r="31" spans="1:15">
      <c r="A31" s="9" t="s">
        <v>207</v>
      </c>
      <c r="B31" s="9">
        <v>11</v>
      </c>
      <c r="C31" s="9"/>
      <c r="D31" s="9"/>
    </row>
    <row r="32" spans="1:15">
      <c r="A32" s="9" t="s">
        <v>224</v>
      </c>
      <c r="B32" s="9">
        <v>4</v>
      </c>
      <c r="C32" s="9"/>
      <c r="D32" s="9"/>
    </row>
  </sheetData>
  <mergeCells count="2">
    <mergeCell ref="A1:I3"/>
    <mergeCell ref="B5:D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275_95331035981</dc:creator>
  <cp:keywords/>
  <dc:description/>
  <cp:lastModifiedBy/>
  <cp:revision/>
  <dcterms:created xsi:type="dcterms:W3CDTF">2026-03-19T12:10:40Z</dcterms:created>
  <dcterms:modified xsi:type="dcterms:W3CDTF">2026-04-05T07:21:38Z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2026-03-19T17:14:33Z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d56c33e0-4556-4fe3-85f4-9e23bdfcd350</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